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510" yWindow="525" windowWidth="26580" windowHeight="10935"/>
  </bookViews>
  <sheets>
    <sheet name="Enterprise ATT&amp;CK" sheetId="1" r:id="rId1"/>
    <sheet name="Expressed Tactics" sheetId="2" r:id="rId2"/>
    <sheet name="Techniques in Multi-Tactics" sheetId="3" r:id="rId3"/>
  </sheets>
  <calcPr calcId="125725"/>
  <extLst>
    <ext uri="GoogleSheetsCustomDataVersion1">
      <go:sheetsCustomData xmlns:go="http://customooxmlschemas.google.com/" r:id="rId7" roundtripDataSignature="AMtx7mj6VvYWCsLllCF+uqfa1pvh+qzw7A=="/>
    </ext>
  </extLst>
</workbook>
</file>

<file path=xl/calcChain.xml><?xml version="1.0" encoding="utf-8"?>
<calcChain xmlns="http://schemas.openxmlformats.org/spreadsheetml/2006/main">
  <c r="I18" i="2"/>
  <c r="H18"/>
  <c r="G18"/>
  <c r="G19" s="1"/>
  <c r="E18"/>
  <c r="C18"/>
  <c r="D18" s="1"/>
  <c r="B18"/>
  <c r="F17"/>
  <c r="D17"/>
  <c r="F16"/>
  <c r="D16"/>
  <c r="F15"/>
  <c r="D15"/>
  <c r="F14"/>
  <c r="D14"/>
  <c r="F13"/>
  <c r="D13"/>
  <c r="F12"/>
  <c r="D12"/>
  <c r="F11"/>
  <c r="D11"/>
  <c r="F10"/>
  <c r="D10"/>
  <c r="F9"/>
  <c r="D9"/>
  <c r="F8"/>
  <c r="D8"/>
  <c r="F7"/>
  <c r="D7"/>
  <c r="F6"/>
  <c r="D6"/>
  <c r="F5"/>
  <c r="D5"/>
  <c r="F4"/>
  <c r="F18" s="1"/>
  <c r="D4"/>
  <c r="C19" l="1"/>
</calcChain>
</file>

<file path=xl/sharedStrings.xml><?xml version="1.0" encoding="utf-8"?>
<sst xmlns="http://schemas.openxmlformats.org/spreadsheetml/2006/main" count="853" uniqueCount="403">
  <si>
    <t>Technique</t>
  </si>
  <si>
    <t>Interaction Rule</t>
  </si>
  <si>
    <t>Source</t>
  </si>
  <si>
    <t>Reconnaissance</t>
  </si>
  <si>
    <t>Active Scanning</t>
  </si>
  <si>
    <t>Gather Victim Host Information</t>
  </si>
  <si>
    <t>Gather Victim Identity Information</t>
  </si>
  <si>
    <t>Gather Victim Network Information</t>
  </si>
  <si>
    <t>Gather Victim Org information</t>
  </si>
  <si>
    <t>Phishing for Information</t>
  </si>
  <si>
    <t>Search Colsed Sources</t>
  </si>
  <si>
    <t>Search Open Technical Databases</t>
  </si>
  <si>
    <t>Search Open Websites/Domains</t>
  </si>
  <si>
    <t>Seach Victim-Owned Websites</t>
  </si>
  <si>
    <t>Resource Development</t>
  </si>
  <si>
    <t>Acquire Infrastructure</t>
  </si>
  <si>
    <t>Compromise Accounts</t>
  </si>
  <si>
    <t>Compromise Infratructure</t>
  </si>
  <si>
    <t>Develop Capabilities</t>
  </si>
  <si>
    <t>Establish Accounts</t>
  </si>
  <si>
    <t>Obtain Capabilities</t>
  </si>
  <si>
    <t>Initial Access</t>
  </si>
  <si>
    <t>Drive-by Compromise</t>
  </si>
  <si>
    <t>accessMaliciousInput(Host, Victim, Software) :-
  inCompetent(Victim),
  isClient(Software),
  hacl(Host, MaliciousMachine, httpProtocol, httpPort),
  attackerLocated(MaliciousMachine).</t>
  </si>
  <si>
    <t>Ext07</t>
  </si>
  <si>
    <t>execCode(Victim, Host, Perm) :-
  vulExists(Host, _, Software, remoteClient, privEscalation),
  hasAccount(Victim, Host, Perm),
  accessMaliciousInput(Host, Victim, Software).</t>
  </si>
  <si>
    <t>Ext24</t>
  </si>
  <si>
    <t>Exploit Public-Facing Application</t>
  </si>
  <si>
    <t>execCode(Attacker, Host, User) :-
  malicious(Attacker),
  vulExists(Host, Program, remoteExploit, privilegeEscalation),
  networkService(Host, Program, Protocol, Port, User),
  netAccess(Attacker, _AttackSrc, Host, Protocol, Port).</t>
  </si>
  <si>
    <t>MulVAL Base</t>
  </si>
  <si>
    <t>localAccess(Principal, DstHost, NetworkServiceUser):-
  netAccess(Principal, SrcHost, DstHost, Protocol, Port),
  networkService(DstHost, Prog, Prot, Port, NetworkServiceUser),
  vulHost(DstHost, _vulID, Prog, remoteExploit, execCode),
  malicious(Principal).</t>
  </si>
  <si>
    <t>Ext03</t>
  </si>
  <si>
    <t>execCode(Src, Host, Perm) :-
  vulExists(Host, _, Software, remoteExploit, privEscalation),
  networkServiceInfo(Host, Software, Protocol, Port),
  netAccess(Src ,Host, Protocol, Port).</t>
  </si>
  <si>
    <t>External Remote Services</t>
  </si>
  <si>
    <t>execCode(Host, Perm) :-
  vulExists(Host, VulID, Software, remote, privEscalation),
  networkServiceInfo(Host, Software, Protocol, Port, Perm),
  netAccess(Host, Protocol, Port).</t>
  </si>
  <si>
    <t>Hardware Additions</t>
  </si>
  <si>
    <t>Phishing</t>
  </si>
  <si>
    <t>execCode(Attacker, Host, User) :-
  malicious(Attacker),
  vulExists(Host, Program, remoteExploit, privilegeEscalation),
  clientProgram(Host, Program),
  incompetent(Prin),
  hasAccount(Prin, Host, User).</t>
  </si>
  <si>
    <t>Replication Through Removable Media</t>
  </si>
  <si>
    <t>Supply Chain Compromise</t>
  </si>
  <si>
    <t>Trusted Relationship</t>
  </si>
  <si>
    <t>Valid Accounts</t>
  </si>
  <si>
    <t>execCode(P1, Host, Perm) :-
  principalCompromised(P2, P1),
  hasAccount(P2, Host, Perm),
  canAccessHost(P1, Host)</t>
  </si>
  <si>
    <t>execCode(Attacker, Host, User) :-
  principalCompromised(Victim, Attacker),
  hasAccount(Victim, Host, User),
  canAccessHost(Attacker, Host).</t>
  </si>
  <si>
    <t>execCode(Victim, Host, Perm) :-
  principalCompromised(Victim),
  hasAccount(Victim, Host, Perm),
  canAccessHost(Host, Victim).</t>
  </si>
  <si>
    <t>Execution</t>
  </si>
  <si>
    <t>Command and Scripting Interpreter</t>
  </si>
  <si>
    <t>execCode(H, Perm) :-
  compromised(H),
  vulExists(H, Vulid, localExploit, privEscalation).
compromised(H) :-
  deviceOnline(H, Platform)
  vulExists(H, Vulid, remoteClient, codeExecution),
  maliciousInteraction(H, _, App).</t>
  </si>
  <si>
    <t>Ext18</t>
  </si>
  <si>
    <t>Exploitation for Client Execution</t>
  </si>
  <si>
    <t>execCode(Prin, Host, Perm) :-
  malicious(Prin),
  execCode(Prin, Host, Perm2),
  vulExists(Host, Software, localExploit, privEscalation),
  setuidProgram(Host, Software, Perm)</t>
  </si>
  <si>
    <t>execCode(Attacker, Host, root) :-
  malicious(Attacker),
  accessFile(Attacker, Host, write, Path).</t>
  </si>
  <si>
    <t>execCode(Attacker, Host, User) :-
  malicious(Attacker),
  accessFile(Attacker, Host, write, Path),
  not setuidProgram(Host, Path),
  localFileProtection(Host, User, exec, Path).</t>
  </si>
  <si>
    <t>execCode(Attacker, Host, Owner) :-
  malicious(Attacker),
  accessFile(Attacker, Host, write, Path),
  setuidProgram(Host, Path),
  fileOwner(Host, Path, Owner),
  localFileProtection(Host, User, exec, Path).</t>
  </si>
  <si>
    <t>execCode3(Principal_1, Host, User):-
  malicious1(Principal_1),
  inCompetent1(Principal_2),
  dataInject4(Principal_1, Host, _prog, User),
  localAccess3(Principal_2, Host, User).</t>
  </si>
  <si>
    <t>Ext01</t>
  </si>
  <si>
    <t>execArbitraryCode(Host, _Perm) :-
  execCode(Host, _Perm),
  vulExists(Host, _, Software, _, execArbitCode).</t>
  </si>
  <si>
    <t>Ext23</t>
  </si>
  <si>
    <t>execCode(Src, Host, Perm) :-
  vulExists(Host, _, Software, remoteExploit, privEscalation),
  installed(Host, Software),
  netAccess(Src, Host, _, _).</t>
  </si>
  <si>
    <t>compromised (Principal) :-
  compromised (Attacker),
  canAccess (Attacker, service_change_config, Service).</t>
  </si>
  <si>
    <t>Ext30</t>
  </si>
  <si>
    <t>compromised (Principal) :-
  compromised (Attacker),
  canAccess (Attacker, write, File),
  canAccess (Principal, execute, File).</t>
  </si>
  <si>
    <t>Inter-Process Communication</t>
  </si>
  <si>
    <t>Native API</t>
  </si>
  <si>
    <t>Scheduled Task/Job</t>
  </si>
  <si>
    <t>Shared Modules</t>
  </si>
  <si>
    <t>vulHost5(Host, ID, Prog, Range, Consequense):-
  vulHost5(Host, ID, Library, Range, Consequense),
  dependsOn3(Host, Prog, Library).</t>
  </si>
  <si>
    <t>Software Deployment Tools</t>
  </si>
  <si>
    <t>System Services</t>
  </si>
  <si>
    <t>localAccess(Principal, Host, admin):-
  localService(Host, Prog, User),
  vulHost(Host, _vulID, Prog, localExploit, privEsc),
  malicious(Principal),
  localAccess(Principal, Host, User).</t>
  </si>
  <si>
    <t>User Execution</t>
  </si>
  <si>
    <t>Windows Management Instrumentation</t>
  </si>
  <si>
    <t>Persistence</t>
  </si>
  <si>
    <t>Account Manipulation</t>
  </si>
  <si>
    <t>BITS Jobs</t>
  </si>
  <si>
    <t>Boot or Logon Autostart Execution</t>
  </si>
  <si>
    <t>Boot or Logon Initialization Scripts</t>
  </si>
  <si>
    <t>Browser Extensions</t>
  </si>
  <si>
    <t>Compromise Client Software Binary</t>
  </si>
  <si>
    <t>Create Account</t>
  </si>
  <si>
    <t>Create or Modify System Process</t>
  </si>
  <si>
    <t>Event Triggered Execution</t>
  </si>
  <si>
    <t>Hijack Execution Flow</t>
  </si>
  <si>
    <t>Implant Container Image</t>
  </si>
  <si>
    <t>Office Application Startup</t>
  </si>
  <si>
    <t>Pre-OS Boot</t>
  </si>
  <si>
    <t>Server Software Component</t>
  </si>
  <si>
    <t>Traffic Signaling</t>
  </si>
  <si>
    <t>Privilege Escalation</t>
  </si>
  <si>
    <t>Abuse Elevation Control Mechanism</t>
  </si>
  <si>
    <t>execCode(Attacker, Host, User) :-
  malicious(Attacker),
  vulExists(Host, Prog, localExploit, privilegeEscalation),
  setuidProgram(Host, Prog),
  fileOwner(Host, Path, User),
  execCode(Attacker, Host, _SomeUser).</t>
  </si>
  <si>
    <t>Access Token Manipulation</t>
  </si>
  <si>
    <t>Exploitation for Privilege Escalation</t>
  </si>
  <si>
    <t>execCode3(Principal, DstHost, User):-
  malicious1(Principal),
  vulHost5(DstHost, VulID, Prot, adjacent, completePrivEsc),
  l2Access6(Principal, SrcHost, DstHost, Prot, Zone, Type).</t>
  </si>
  <si>
    <t>execCode(Vm_id, Perm) :-
  VulEixsts(Vm_id, stealthyBridge_id, _, _, privEscalation),
  netAccess(H, _Protocol, _Port)</t>
  </si>
  <si>
    <t>Ext21-Ext22</t>
  </si>
  <si>
    <t>execCode(Vm_2,_user) :-
  stealthyBridgeExists(Vm_1, Vm_2, Host, stealthyBridge_id).</t>
  </si>
  <si>
    <t>execCode(Host, root) :-
  execCode(Host, _Perm),
  vulExists(Host, _, Software, _, Act),
  canLeadToPrivEscalation(Act).</t>
  </si>
  <si>
    <t>execCode(Host, root) :-
  execArbitraryCode(Host, _Perm).</t>
  </si>
  <si>
    <t>execCode(Attacker, Host, ProgramUserId) :-
  vulExists(Host, Program, localExploit, privilegeEscalation),
  privilegedProgram(Host, Program, ProgramUserId),
  execCode(Attacker, Host, _SomeUser).</t>
  </si>
  <si>
    <t>Ext31</t>
  </si>
  <si>
    <t>execCode(Attacker, Host, User) :-
  accessFile(Attacker, Host, write, Path),
  not privilegedProgram(Host, Path),
  localFileProtection(Host, User, exec, Path).
execCode(Attacker, Host, Owner) :-
  accessFile(Attacker, Host, write, Path),
  privilegedProgram(Host, Path),
  fileOwner(Host, Path, Owner).</t>
  </si>
  <si>
    <t>canPrivEsc(Comp) :-
  canInjectCommand(Comp),
  badConfiguration(Comp).</t>
  </si>
  <si>
    <t>Ext37</t>
  </si>
  <si>
    <t>Group Policy Modification</t>
  </si>
  <si>
    <t>Process Injection</t>
  </si>
  <si>
    <t>dataInject(Principal, DstHost, Path2):-
  accessFile(Principal, SrcHost, write, Path1),
  dataBind(Flow, SrcHost, Path1),
  dataFlow(SrcHost, DstHost, Flow),
  dataBind (Flow, DstHost, Path2).</t>
  </si>
  <si>
    <t>stealthyBridgeExists(Vm_1, Vm_2, Host, stealthyBridge_id) :-
  execCode(Vm_1, _user),
  resideOn(Vm_1, Host),
  resideOn(Vm_2, Host).</t>
  </si>
  <si>
    <t>Defense Evasion</t>
  </si>
  <si>
    <t>Deobfuscate/Decode Files or Information</t>
  </si>
  <si>
    <t>Direct Volume Access</t>
  </si>
  <si>
    <t>Execution Guardrails</t>
  </si>
  <si>
    <t>Exploitation for Defense Evasion</t>
  </si>
  <si>
    <t>File and Directory Permissions Modification</t>
  </si>
  <si>
    <t>Hide Artifacts</t>
  </si>
  <si>
    <t>Impair Defenses</t>
  </si>
  <si>
    <t>Indicator Removal on Host</t>
  </si>
  <si>
    <t>Indirect Command Execution</t>
  </si>
  <si>
    <t>Masquerading</t>
  </si>
  <si>
    <t>Modify Authentication Process</t>
  </si>
  <si>
    <t>Modify Cloud Compute Infrastructure</t>
  </si>
  <si>
    <t>Modify Registry</t>
  </si>
  <si>
    <t>Modify System Image</t>
  </si>
  <si>
    <t>Network Boundary Bridging</t>
  </si>
  <si>
    <t>Obfuscated Files or Information</t>
  </si>
  <si>
    <t>Rogue Domain Controller</t>
  </si>
  <si>
    <t>Rootkit</t>
  </si>
  <si>
    <t>Signed Binary Proxy Execution</t>
  </si>
  <si>
    <t>Signed Script Proxy Execution</t>
  </si>
  <si>
    <t>Subvert Trust Controls</t>
  </si>
  <si>
    <t>Template Injection</t>
  </si>
  <si>
    <t>Trusted Developer Utilities Proxy Execution</t>
  </si>
  <si>
    <t>Unused/Unsupported Cloud Regions</t>
  </si>
  <si>
    <t>Use Alternate Authentication Material</t>
  </si>
  <si>
    <t>Virtualization/Sandbox Evasion</t>
  </si>
  <si>
    <t>Weaken Encryption</t>
  </si>
  <si>
    <t>XSL Script Processing</t>
  </si>
  <si>
    <t>Credential Access</t>
  </si>
  <si>
    <t>Brute Force</t>
  </si>
  <si>
    <t>Credentials from Password Stores</t>
  </si>
  <si>
    <t>principalCompromised(Victim) :-
  hasAccount(Victim, Host, _Perm),
  execCode(Victim, Host, root).</t>
  </si>
  <si>
    <t>principalCompromised(Victim) :-
  hasAccount(Victim, Host, User),
  execCode(Victim, Host, root).</t>
  </si>
  <si>
    <t>Exploitation for Credential Access</t>
  </si>
  <si>
    <t>principalCompromised(Victim, Attacker) :-
  hasAccount(Victim, Host, User),
  execCode(Attacker, Host, root),
  malicious(Attacker).</t>
  </si>
  <si>
    <t>execCode(Attacker, Host, User) :-
  principalCompromised(Victim, Attacker),
  hasAccount(Victim, Host, User),
  canAccessHost(Attacker, Host).
principalCompromised(Victim, Attacker) :-
  incompetent(Victim),
  malicious(Attacker).</t>
  </si>
  <si>
    <t>Forced Authentication</t>
  </si>
  <si>
    <t>Input Capture</t>
  </si>
  <si>
    <t>Man-in-the-Middle</t>
  </si>
  <si>
    <t>spoofLinkHost5(Principal, ImpersonatedHost, FooledHost, AttackerHost, trafficTheft):-
  vulLinkProtocol6(ImpersonatedHost, FooledHost, _vulID, Prot,adjacent, impersonateSrc),
  l2Access6(Principal, AttackerHost, ImpersonatedHost, Prot, Zone, ipSubnet).</t>
  </si>
  <si>
    <t>spoofLinkHost(Principal, ImpersonatedHost, FooledHost, AttackerHost, trafficTheft):-
  vulLinkProtocol(RelayHost, ImpersonatedHost, VulID, Prot, adjacent, impersonateDst),
  l2Access(Principal, AttackerHost, ImpersonatedHost, Prot, Subnet, ipSubnet),
  dataFlow(FooledHost,ImpersonatedHost,FlowName),
  isGateway(RelayHost,Subnet).</t>
  </si>
  <si>
    <t>spoofLinkHost5(Principal, ImpersonatedHost, FooledHost, AttackerHost, deception):-
  vulLinkProtocol6(ImpersonatedHost, FooledHost, _vulID, Prot, adjacent, impersonateSrc),
  l2Connection5(AttackerHost, FooledHost, BusID, Prot,bus),
  localAccess3(Principal, AttackerHost, User),
  isMaster2(ImpersonatedHost, BusID).</t>
  </si>
  <si>
    <t>spoofLinkHost5(Principal, ImpersonatedHost, FooledHost, AttackerHost, deception):-
  vulLinkProtocol6(ImpersonatedHost, FooledHost, _vulID, Prot, adjacent, impersonateSrc),
  l2Connection5(AttackerHost, FooledHost, BusID, Prot, bus),
  localAccess3(Principal, AttackerHost, User),
  isSlave2(ImpersonatedHost, BusID).</t>
  </si>
  <si>
    <t>spoofE2EHost7(Principal, ImpersonatedHost, FooledHost, AttackerHost1, Prot, Port, trafficTheft):-
  isNameResolver3(NameResolver, FooledHost, ImpersonatedHost),
  vulE2EProtocol7(FooledHost, NameResolver, dnsCachePoisoning, dns, DNSProt, remoteExploit, nameresolverCachePoisoned),
  netAccess5(Principal, AttackerHost1, NameResolver, dns, DNSProt).</t>
  </si>
  <si>
    <t>spoofE2EHost(Principal, ImpersonatedHost, FooledHost, AttackerHost, Prot, Port, trafficTheft):-
  isNameResolver(NameResolver, FooledHost, ImpersonatedHost),
  localAccess(Principal, NameResolver, admin),
  netAccess(Principal2, FooledHost, AttackerHost, Prot, Port),
  localAccess(Principal, AttackerHost, User).</t>
  </si>
  <si>
    <t>spoofE2EHost(Principal, ImpersonatedHost, FooledHost, AttackerHost, Prot, Port, trafficTheft):-
  isNameResolver(NameResolver, FooledHost, ImpersonatedHost),
  accessFile(Principal, NameResolver, write, RecoredPath),
  dataBind(NameResolverRecord, NameResolver, RecoredPath),
  isNameResolverRecord(NameResolverRecord).</t>
  </si>
  <si>
    <t>mitmLink(Principal, SrcHost, DstHost, SpoofingHost):-
  spoofLinkHost(Principal, SrcHost, DstHost, SpoofingHost, trafficTheft),
  spoofLinkHost(Principal, DstHost, SrcHost, SpoofingHost, trafficTheft).</t>
  </si>
  <si>
    <t>mitmE2E(Principal, SrcHost, DstHost, SpoofingHost, Prot, Port):-
  spoofE2EHost(Principal, SrcHost, DstHost, SpoofingHost, Prot, Port, trafficTheft),
  spoofE2EHost(Principal, DstHost, SrcHost, SpoofingHost, Prot, Port, trafficTheft).</t>
  </si>
  <si>
    <t>principalCompromised(Victim) :-
  hasAccount(Victim, RemoteHost, User),
  attackerLocated(Subnet),
  hacl(Subnet, H, _anyProtocol, _anyPort),
  networkServiceInfo(H, arpd, _protocol, _port, _),
  vulExists(H, arpSpoofVuln, arpd, remoteExploit, arpSpoof),
  logInService(RemoteHost, Protocol, Port),
  flowExists(H, RemoteHost, Protocol, Port, User).
logInService(H, Protocol, Port) :-
  networkServiceInfo(H, ftpd, Protocol, Port, _).</t>
  </si>
  <si>
    <t>Ext09</t>
  </si>
  <si>
    <t>principalCompromised(Victim) :-
  hasAccount(Victim, RemoteHost, User),
  networkServiceInfo(H, nrlolsr, olsr, _no_port, _user),
  vulExists(H, nrlolsrVul, nrlolsr, remoteExploit, nrlolsrHijack),
  logInService(RemoteHost, Protocol, Port),
  flowExists(H, RemoteHost, Protocol, Port, User).</t>
  </si>
  <si>
    <t>canReceiveFile(HostRX, FileName, HostTX) :-
  notSame(HostRX, HostTX),
  vulExists(HostTX, _, Software, remoteExploit, spoofResponse),
  networkServiceInfo(HostTX, Software, Protocol, Port),
  netAccess(HostTX, HostRX, Protocol, Port),
  execCode(_, HostRX, _),
  sendsFile(HostTX, _, FileName, Software).</t>
  </si>
  <si>
    <t>canReceiveFile(HostRX, FileName, HostTX) :-
  notSame(HostRX, HostTX),
  vulExists(HostTX, _, Software, remoteExploit, spoofResponse),
  networkServiceInfo(HostTX, Software, Protocol, Port),
  netAccess(HostTX, HostRX, Protocol, Port),
  attackerLocated(HostRX),
  sendsFile(HostTX, _, FileName, Software).</t>
  </si>
  <si>
    <t>dataTransitsThrough(Host, FileName) :-
  firstHop(TXhost, Host),
  firstHop(RXhost, Host),
  sendsFile(TXhost, RXhost, FileName, TxSoftware),
  listenForFiles(RXhost, RxSoftware).</t>
  </si>
  <si>
    <t>manInTheMiddle(Host, Tx, Rx) :-
  sendsFile(Tx, Rx, FileName, _Software),
  dataTransitsThrough(Host, FileName),
  execCode(_, Host, _).</t>
  </si>
  <si>
    <t>manInTheMiddle(Host, Tx, Rx) :-
  execCode(_, Host, _),
  canReceiveFile(Host, FileName, Tx),
  canSendFile(Host, Rx, _).</t>
  </si>
  <si>
    <t>manInTheMiddle(Host, Tx, Rx) :-
  attackerLocated(Host),
  canReceiveFile(Host, FileName, Tx),
  canSendFile(Host, Rx, _).</t>
  </si>
  <si>
    <t>Network Sniffing</t>
  </si>
  <si>
    <t>crackAPEncKey2(Principal, AP):-
  malicious1(Principal),
  accessDataFlow3(Principal, Flowname, view),
  relay2(AP, Flowname),
  isAP5(AP, WirelessRange, DstZone, WirelessProt, secured),
  vulLinkProtocol5(WirelessRange, WeakEncryption, WirelessProt, remoteExploit, keyExtraction).</t>
  </si>
  <si>
    <t>crackAPEncKey2(Principal, AP):-
  malicious1(Principal),
  isCredential3(Flowname, AP, User), 
  accessDataFlow3(Principal, Flowname, view),
  relay2(AP, Flowname),
  isAP5(AP, WirelessRange, DstZone, WirelessProt, secured),
  vulLinkProtocol5(WirelessRange, WeakEncryption, WirelessProt, remoteExploit, keyExtraction).</t>
  </si>
  <si>
    <t>accessDataFlow3(Principal, FlowName, read):-
  crackAPEncKey(Principal, AP),
  relay(AP, FlowName),
  dataFlow(Host, FlowName),
  flowBind(FlowName, Prot, Port),
  vulE2EProtocol(Host, VulID, Prot, Port, remoteExploit, eavesdropping),
  isAP(AP, WirelessRange, DstZone, WirelessProt, secured),
  located(AttackerHost, WirelessRange, physical),
  localAccess(Principal, AttackerHost, admin).</t>
  </si>
  <si>
    <t>accessDataFlow3(Principal, Flowname, view):-
  l2Connection5(SrcHost, AP, WirelessRange, Prot, wireless),
  located3(SideHost, WirelessRange, physical),
  localAccess3(Principal, SideHost, admin),
  dataFlow2(SrcHost, Flowname),
  relay2(AP, Flowname).</t>
  </si>
  <si>
    <t>accessDataFlow3(Principal,Flowname,read):-
  accessDataFlow3(Principal, Flowname, view),
  vulLinkProtocol6(SrcHost, DstHost, VulID, WirelessProt, Range, eavesdropping),
  dataFlow3(SrcHost, DstHost, Flowname),
  flowBind3(Flowname, WirelessProt, _).</t>
  </si>
  <si>
    <t>accessDataFlow3(Principal, Flowname, view):-
  l2Connection5(SrcHost, DstHost, WirelessRange, Prot, wireless),
  located3(SideHost, WirelessRange, physical),
  localAccess3(Principal, SideHost, admin),
  dataFlow4(SrcHost, DstHost, Flowname, Direction).</t>
  </si>
  <si>
    <t>accessLinkFlow(Principal, Host, AP, Protocol, read):-
  malicious(Principal),
  localAccess(Principal, AttackerHost, admin),
  located(AttackerHost, WirelessRange, physical),
  flowBind(Flowname, Protocol, Port),
  isCredential(Flowname, DstZone, User),
  vulLinkProtocol(WirelessRange, VulID, Protocol, adjacent, keyReinstallation),
  isAP(AP, WirelessRange, DstZone, Protocol, secured),
  located(Host, WirelessRange, physical).</t>
  </si>
  <si>
    <t>accessDataFlow3(Principal, Flowname, read):-
  crackPINCode4(Principal, SrcHost, DstHost, BluetoothProt),
  dataFlow4(SrcHost, DstHost, Flowname, Direction),
  flowBind3(Flowname, BluetoothProt, _),
  located3(SideHost, BluetoothRange, physical),
  localAccess3(Principal, SideHost, admin).</t>
  </si>
  <si>
    <t>OS Credential Dumping</t>
  </si>
  <si>
    <t>accessFile(Prin, Host, Access, Path) :-
  execCode(Prin, Host, User),
  localFileProtection(Host, User, Access, Path).</t>
  </si>
  <si>
    <t>leakInfo(Host, file) :-
  execCode(Host, _Perm),
  vulExists(Host, _, Software, _, readfile).</t>
  </si>
  <si>
    <t>Steal Application Access Token</t>
  </si>
  <si>
    <t>Steal or Forge Kerberos Tickets</t>
  </si>
  <si>
    <t>leakInfo(Host, data) :-
  execCode(Host, _Perm),
  vulExists(Host, _, Software, _, readdata).</t>
  </si>
  <si>
    <t>Steal Web Session Cookie</t>
  </si>
  <si>
    <t>Two-Factor Authentication Interception</t>
  </si>
  <si>
    <t>Unsecured Credentials</t>
  </si>
  <si>
    <t>Discovery</t>
  </si>
  <si>
    <t>Account Discovery</t>
  </si>
  <si>
    <t>Application Window Discovery</t>
  </si>
  <si>
    <t>Browser Bookmark Discovery</t>
  </si>
  <si>
    <t>Cloud Infrastructure Discovery</t>
  </si>
  <si>
    <t>Cloud Service Dashboard</t>
  </si>
  <si>
    <t>Cloud Service Discovery</t>
  </si>
  <si>
    <t>Domain Trust Discovery</t>
  </si>
  <si>
    <t>File and Directory Discovery</t>
  </si>
  <si>
    <t>execCode(Host, Perm) :-
  vulExists(Host, _, Software, _, privEscalation),
  localService(Host, Software, Perm),
  usbMounted(Host, USB_Drive),
  malwareLocated(USB_Drive).</t>
  </si>
  <si>
    <t>Ext25-Ext26</t>
  </si>
  <si>
    <t>Network Service Scanning</t>
  </si>
  <si>
    <t>Network Share Discovery</t>
  </si>
  <si>
    <t>Password Policy Discovery</t>
  </si>
  <si>
    <t>crackAPEncKey3(Principal, Host, AP):-
  malicious1(Principal),
  accessLinkFlow5(Principal, Host, AP, Protocol, read),
  isAP5(AP, WirelessRange, DstZone, Protocol, secured),
  vulLinkProtocol5(WirelessRange, VulID1, Protocol, adjacent,keyReinstallation),
  vulHost5(Host, VulID2, wpaSupplicant, localExploit, keyExtraction).</t>
  </si>
  <si>
    <t>crackPINCode4(Principal, SrcHost, DstHost, BluetoothProt):-
  malicious1(Principal),
  accessDataFlow3(Principal, Flowname, read),
  isPairingProcess1(Flowname),
  dataFlow4(SrcHost, DstHost, Flowname, Direction),
  flowBind3(Flowname, BluetoothProt, _).</t>
  </si>
  <si>
    <t>crackPINCode4(Principal, DstHost, SrcHost, BluetoothProt):-
  crackPINCode4(Principal, SrcHost, DstHost, BluetoothProt).</t>
  </si>
  <si>
    <t>Peripheral Device Discovery</t>
  </si>
  <si>
    <t>Permission Groups Discovery</t>
  </si>
  <si>
    <t>Process Discovery</t>
  </si>
  <si>
    <t>Query Registry</t>
  </si>
  <si>
    <t>Remote System Discovery</t>
  </si>
  <si>
    <t>Software Discovery</t>
  </si>
  <si>
    <t>System Information Discovery</t>
  </si>
  <si>
    <t>System Network Configuration Discovery</t>
  </si>
  <si>
    <t>System Network Connections Discovery</t>
  </si>
  <si>
    <t>System Owner/User Discovery</t>
  </si>
  <si>
    <t>System Service Discovery</t>
  </si>
  <si>
    <t>System Time Discovery</t>
  </si>
  <si>
    <t>Lateral Movement</t>
  </si>
  <si>
    <t>Exploitation of Remote Services</t>
  </si>
  <si>
    <t>stealthyBridgeExists(Vm_1, Vm_2, Host, stealthyBridge_id) :-
  execCode(Vm_1, _user),
  ResideOn(Vm_1, Host),
  ResideOn(Vm_2, Host).</t>
  </si>
  <si>
    <t>Internal Spearphishing</t>
  </si>
  <si>
    <t>Lateral Tool Transfer</t>
  </si>
  <si>
    <t>Remote Service Session Hijacking</t>
  </si>
  <si>
    <t>Remote Services</t>
  </si>
  <si>
    <t>netAccess(H2, _protocol, _port) :-
  gateway(H1),
  advances(H1, H2),
  netAccess(H1, _protocol, _port),
  hacl(H1, H2, _protocol, _port).</t>
  </si>
  <si>
    <t>Taint Shared Content</t>
  </si>
  <si>
    <t>Collection</t>
  </si>
  <si>
    <t>Archive Collected Data</t>
  </si>
  <si>
    <t>Audio Capture</t>
  </si>
  <si>
    <t>Automated Collection</t>
  </si>
  <si>
    <t>Clipboard Data</t>
  </si>
  <si>
    <t>Data from Cloud Storage Object</t>
  </si>
  <si>
    <t>Data from Configuration Repository</t>
  </si>
  <si>
    <t>Data from Information Repositories</t>
  </si>
  <si>
    <t>Data from Local System</t>
  </si>
  <si>
    <t>accessFile(Prin, Server, Access, ServerPath) :-
  nfsMounted(Client, ClientPath, Server, ServerPath, Access),
  accessFile(Prin, Client, Access, ClientPath)</t>
  </si>
  <si>
    <t>localFileProtection(Host, User, Access, Path) :-
  fileOwner(Host, Path, User),
  ownerAccessible(Host, Access, Path).</t>
  </si>
  <si>
    <t>localFileProtection(Host, User, Access, Path) :-
  inGroup(User, Group),
  fileGroupOwner(Host, Path, Group),
  groupAccessible(Host, Access, Path).</t>
  </si>
  <si>
    <t>localFileProtection(Host, User, Access, Path) :-
  worldAccessible(Host, Access, Path).</t>
  </si>
  <si>
    <t>accessFile(Principal, Host, Access, Path):-
  localFileProtection(Host, User, Access, Path),
  localAccess(Principal, Host, User).</t>
  </si>
  <si>
    <t>accessFile(Host, Path) :-
  execCode(_, Host, Usr),
  canAccessFile(Host, Usr, Path).</t>
  </si>
  <si>
    <t>accessFile(Host, FileName) :-
  execCode(_, Host, Usr),
  dataTransitsThrough(Host, FileName).</t>
  </si>
  <si>
    <t>checkAccess(allowed, _FileDacl, RequestedAccess, Process) :-
  validAccess(RequestedAccess),
  getProcessPrivileges(Process, Privs),
  hasSuperPrivilege(true, Privs).</t>
  </si>
  <si>
    <t>Ext29</t>
  </si>
  <si>
    <t>Data from Network Shared Drive</t>
  </si>
  <si>
    <t>accessFile(Prin, Client, Access, ClientPath) :-
  nfsMounted(Client, ClientPath, Server, ServerPath, read),
  accessFile(Prin, Server, Access, ServerPath)</t>
  </si>
  <si>
    <t>accessFile(Prin, Server, Access, Path) :-
  malicious(Prin),
  netAccess(Prin, Client, Server, rpc, 100003),
  nfsExportInfo(Server, Path, Access, Client)</t>
  </si>
  <si>
    <t>accessFile(Prin, Server, Access, Path) :-
  malicious(Prin),
  netAccess(Prin, Client, Server, rpc, 100003),
  nfsExportInfo(Server, Path, Client, Access, RootSquash, insecure),
  nfsUserMap(UserClient, UserServer, RootSquash),
  localFileProtection(Server, UserServer, Access, Path).</t>
  </si>
  <si>
    <t>accessFile(Prin, Server, Access, Path) :-
  malicious(Prin),
  netAccess(Prin, Client, Server, rpc, 100003),
  execCode(Prin, Client, root),
  nfsExportInfo(Server, Path, Client, Access, RootSquash, secure),
  nfsUserMap(UserClient, UserServer, RootSquash),
  localFileProtection(Server, UserServer, Access, Path).</t>
  </si>
  <si>
    <t>accessFile(Prin, Client, Access, ServerPath) :-
  nfsMounted(Client, ClientPath, Server, ServerPath, Access),
  accessFile(Prin, Server, Access, ClientPath).</t>
  </si>
  <si>
    <t>accessFile4(Principal, DstHost, read ,_path):-
  networkService5(DstHost, Prog, Prot, Port, NetworkServiceUser),
  aclH_p6(DstHost, NetworkServiceUser, SrcHost, DstHost, Prot, Port),
  vulHost5(DstHost, _vulID, Prog, remoteExploit, completeDataTheft),
  malicious1(Principal),
  netAccess5(Principal, SrcHost, DstHost, Prot, Port).</t>
  </si>
  <si>
    <t>accessFile(P, Server, Access, SrvPath) :-
  nfsExportInfo(Server, Path, Access, Client),
  nfsMounted(Server, SrvPath, Access, Client, ClntPath),
  netAccess(P, Client, Server, rpc, 100003).
  accessFile(P, Client, Access, ClntPath).</t>
  </si>
  <si>
    <t>Data from Removable Media</t>
  </si>
  <si>
    <t>Data Staged</t>
  </si>
  <si>
    <t>Email Collection</t>
  </si>
  <si>
    <t>Man in the Browser</t>
  </si>
  <si>
    <t>Screen Capture</t>
  </si>
  <si>
    <t>Video Capture</t>
  </si>
  <si>
    <t>Command and Control</t>
  </si>
  <si>
    <t>Application Layer Protocol</t>
  </si>
  <si>
    <t>Communication Through Removable Media</t>
  </si>
  <si>
    <t>Data Encoding</t>
  </si>
  <si>
    <t>Data Obfuscation</t>
  </si>
  <si>
    <t>Dynamic Resolution</t>
  </si>
  <si>
    <t>Encrypted Channel</t>
  </si>
  <si>
    <t>Fallback Channels</t>
  </si>
  <si>
    <t>Ingress Tool Transfer</t>
  </si>
  <si>
    <t>Multi-Stage Channels</t>
  </si>
  <si>
    <t>Non-Application Layer Protocol</t>
  </si>
  <si>
    <t>Non-Standard Port</t>
  </si>
  <si>
    <t>Protocol Tunneling</t>
  </si>
  <si>
    <t>Proxy</t>
  </si>
  <si>
    <t>Remote Access Software</t>
  </si>
  <si>
    <t>Web Service</t>
  </si>
  <si>
    <t>Exfiltration</t>
  </si>
  <si>
    <t>Automated Exfiltration</t>
  </si>
  <si>
    <t>Data Transfer Size Limits</t>
  </si>
  <si>
    <t>Exfiltration Over Alternative Protocol</t>
  </si>
  <si>
    <t>leakInfo(Host, code) :-
  execCode(Host, _Perm),
  vulExists(Host, _, Software, _, readcode).</t>
  </si>
  <si>
    <t>Exfiltration Over C2 Channel</t>
  </si>
  <si>
    <t>Exfiltration Over Other Network Medium</t>
  </si>
  <si>
    <t>vulnerableToDataExfiltration(Tgt, Src) :-
  attackerLocated(Src), 
  netAccess(Src, Tgt, _Protocol, _Port),
  execCode(Src, Tgt,_).</t>
  </si>
  <si>
    <t>vulnerableToDataExfiltration(Tgt, Host) :-
  notSame(Host, Tgt),
  notSame(Host, Atk),
  attackerLocated(Atk),
  netAccess(Atk, Host, _Protocol, _Port),
  pivotPoint(Host, Tgt),
  execCode(Host, Tgt, _).</t>
  </si>
  <si>
    <t>vulnerableToDataExfiltration(Tgt, Atk) :-
  attackerLocated(Atk),
  notSame(Atk, Tgt),
  canReceiveFile(Atk, _, Tgt).</t>
  </si>
  <si>
    <t>vulnerableToDataExfiltration(Tgt, Host) :-
  attackerLocated(Atk),
  netAccess(Atk, Host, _Protocol, _Port),
  notSame(Host, Tgt),
  canReceiveFile(Host, _, Tgt).</t>
  </si>
  <si>
    <t>vulnerableToDataExfiltration(Tgt, Atk) :-
  attackerLocated(Atk),
  notSame(Atk, Tgt),
  manInTheMiddle(Atk, _, Tgt).</t>
  </si>
  <si>
    <t>vulnerableToDataExfiltration(Tgt, Host) :-
  attackerLocated(Atk),
  netAccess(Atk, Host, _Protocol, _Port),
  notSame(Host, Tgt),
  manInTheMiddle(Host, _, Tgt).</t>
  </si>
  <si>
    <t>Exfiltration Over Physical Medium</t>
  </si>
  <si>
    <t>Exfiltration Over Web Service</t>
  </si>
  <si>
    <t>Scheduled Transfer</t>
  </si>
  <si>
    <t>Transfer Data to Cloud Account</t>
  </si>
  <si>
    <t>Impact</t>
  </si>
  <si>
    <t>Account Access Removal</t>
  </si>
  <si>
    <t>Data Destruction</t>
  </si>
  <si>
    <t>Data Encrypted for Impact</t>
  </si>
  <si>
    <t>Data Manipulation</t>
  </si>
  <si>
    <t>tamperInfo(Host, Res) :-
  execCode(Host, _Perm),
  vulExists(Host, _, Software, _, Act),
  modifyInfoAct(Act, Res).</t>
  </si>
  <si>
    <t>execArbitraryCode(Host, _Perm) :-
  execCode(Host, _Perm),
  vulExists(Host, _, Software, _, writecode).</t>
  </si>
  <si>
    <t>Defacement</t>
  </si>
  <si>
    <t>Disk Wipe</t>
  </si>
  <si>
    <t>canDeleteDoc(Comp ) :-
  canSpoofUsr(Comp),
  canLeakDoc(Comp).</t>
  </si>
  <si>
    <t>Endpoint Denial of Service</t>
  </si>
  <si>
    <t>dos(Principal, Host):-
  localAccess(Principal,Host,User),
  localService(Host,Prog,User),
  vulHost(Host,VulID,Prog,localExploit,dos),
  malicious(Principal).</t>
  </si>
  <si>
    <t>dos2(Principal, DstHost):-
  malicious1(Principal),
  l2Access6(Principal, SrcHost, DstHost, Prot, BusID, bus).</t>
  </si>
  <si>
    <t>systemDown(Host) :-
  execCode(Host, _Perm2),
  vulExists(Host, _, Software, localExploit, Overuse),
  misuseAction(Overuse).</t>
  </si>
  <si>
    <t>Firmware Corruption</t>
  </si>
  <si>
    <t>Inhibit System Recovery</t>
  </si>
  <si>
    <t>Network Denial of Service</t>
  </si>
  <si>
    <t>dos2(Principal, DstHost):-
  networkService5(DstHost, Prog, Prot, Port, NetworkServiceUser),
  aclH6(DstHost, NetworkServiceUser, SrcHost, DstHost, Prot, Port),
  vulHost5(DstHost, _vulID, Prog, remoteExploit, dos),
  malicious1(Principal),
  netAccess5(Principal, SrcHost, DstHost,Prot, Port).</t>
  </si>
  <si>
    <t>systemDown(Host) :-
  vulExists(Host, _, Software, remoteExploit, Overuse),
  networkServiceInfo(Host, Software, Protocol, Port, Perm),
  netAccess(Host, Protocol, Port),
  misuseAction(Overuse).</t>
  </si>
  <si>
    <t>canDoS(Src, Tgt, Software) :-
  vulExists(Tgt, _, Software, remoteExploit, poorCongestionControl),
  canSendFile(Src, Tgt, Software).</t>
  </si>
  <si>
    <t>vulnerableToDoS(Tgt, Src) :-
  attackerLocated(Src),
  netAccess(Src, Tgt, _Protocol, _Port),
  execCode(Src, Tgt, _Perm).</t>
  </si>
  <si>
    <t>vulnerableToDoS(Tgt, Host) :-
  notSame(Host, Tgt),
  notSame(Host, Atk),
  attackerLocated(Atk),
  netAccess(Atk, Host, _Protocol, _Port),
  pivotPoint(Host, Tgt),
  execCode(Host, Tgt, _Perm).</t>
  </si>
  <si>
    <t>vulnerableToDoS(Tgt, Atk) :-
  attackerLocated(Atk),
  notSame(Atk, Tgt),
  canDoS(Atk, Tgt, _).</t>
  </si>
  <si>
    <t>vulnerableToDoS(Tgt, Src) :-
  attackerLocated(Atk),
  netAccess(Atk, Src, _Protocol, _Port),
  notSame(Src, Tgt),
  canDoS(Src, Tgt, _).</t>
  </si>
  <si>
    <t>vulnerableToDoS(Tgt, Atk) :-
  attackerLocated(Atk),
  notSame(Atk, Tgt),
  manInTheMiddle(Atk, _, Tgt).</t>
  </si>
  <si>
    <t>vulnerableToDoS(Tgt, Host) :-
  attackerLocated(Atk),
  netAccess(Atk, Host, _Protocol, _Port),
  notSame(Host, Tgt),
  manInTheMiddle(Host, _, Tgt).</t>
  </si>
  <si>
    <t>Resource Hijacking</t>
  </si>
  <si>
    <t>Service Stop</t>
  </si>
  <si>
    <t>System Shutdown/Reboot</t>
  </si>
  <si>
    <t>Specific to 3D printing, doesn't exist in MITRE yet</t>
  </si>
  <si>
    <t>vulnerableToMakingDefectiveParts(Tgt, Atk) :-
  attackerLocated(Src),
  netAccess(Src, Tgt, _Protocol, _Port),
  execCode(Src, Tgt,_).</t>
  </si>
  <si>
    <t>vulnerableToMakingDefectiveParts(Tgt, Host) :-
  notSame(Host, Tgt),
  notSame(Host, Atk),
  attackerLocated(Atk),
  netAccess(Atk, Host, _Protocol, _Port),
  pivotPoint(Host, Tgt),
  execCode(Host, Tgt, _).</t>
  </si>
  <si>
    <t>vulnerableToMakingDefectiveParts(Tgt, Atk) :-
  attackerLocated(Atk),
  notSame(Atk, Tgt),
  canSendFile(Atk, Tgt, _).</t>
  </si>
  <si>
    <t>vulnerableToMakingDefectiveParts(Tgt, Src) :-
  attackerLocated(Atk),
  netAccess(Atk, Src, _Protocol, _Port),
  notSame(Src, Tgt),
  canSendFile(Src, Tgt, _).</t>
  </si>
  <si>
    <t>vulnerableToMakingDefectiveParts(Tgt, Atk) :-
  attackerLocated(Atk),
  notSame(Atk, Tgt),
  manInTheMiddle(Atk, _, Tgt).</t>
  </si>
  <si>
    <t>vulnerableToMakingDefectiveParts(Tgt, Host) :-
  attackerLocated(Atk),
  netAccess(Atk, Host, _Protocol ,_Port),
  notSame(Host, Tgt),
  manInTheMiddle(Host, _, Tgt).</t>
  </si>
  <si>
    <t>Specific to Machine Learning, doesn't exist in MITRE yet</t>
  </si>
  <si>
    <t>evasionAttack4(Principal, PiplineID, ModelID, tampering) :-
  malicious_p1(Principal),
  model_p7(PiplineID, AlgorithmID, ModelID, ModelHost, TrainingDataID, LabelsDataID, ValidationDataID),
  vulModel_p5(PiplineID, AlgorithmID, ModelID, ModelHost, evasionAttackVulnerability),
  completeKnowledge3(Principal, PiplineID, ModelID).</t>
  </si>
  <si>
    <t>Ext38</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</si>
  <si>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score, full),
  taskKnowledge4(Principal, PiplineID, ModelID, KnowledgeLevel).</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</si>
  <si>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decision, full),
  taskKnowledge4(Principal, PiplineID, ModelID, KnowledgeLevel).</t>
  </si>
  <si>
    <t>evasionAttack4(Principal, PiplineID, ModelID, tampering) :-
  malicious_p1(Principal),
  model_p7(PiplineID, AlgorithmID, ModelID, ModelHost, TrainingDataID, LabelsDataID, ValidationDataID),
  vulModel_p5(PiplineID, AlgorithmID, ModelID, ModelHost, evasionAttackVulnerability),
  surrogateDataAccess4(Principal, PiplineID, ModelID, limited),
  queryAccess5(Principal, PiplineID, ModelID, decision, full),
  dataPropertiesKnowledge4(Principal, PiplineID, ModelID, full),
  taskKnowledge4(Principal, PiplineID, ModelID, full).</t>
  </si>
  <si>
    <t>evasionAttack4(Principal, PiplineID, ModelID, tampering) :-
  malicious_p1(Principal),
  model_p7(PiplineID, AlgorithmID, ModelID, ModelHost, TrainingDataID, LabelsDataID, ValidationDataID),
  vulModel_p5(PiplineID, AlgorithmID, ModelID, ModelHost, evasionAttackVulnerability),
  queryAccess5(Principal, PiplineID, ModelID, decision, full),
  trainingDataKnowledge5(Principal, PiplineID, ModelID, TrainingDataID, full),
  rawDataKnowledge5(Principal, PiplineID, ModelID, RawDataID, full),
  dataPropertiesKnowledge4(Principal, PiplineID, ModelID, full),
  taskKnowledge4(Principal, PiplineID, ModelID, full).</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</si>
  <si>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write,limited),
  labeledDataAccess6(Principal, PiplineID, ModelID, LabeledDataID, write, limited),
  queryAccess5(Principal, PiplineID, ModelID, decision, limited),
  completeKnowledge3(Principal, PiplineID, ModelID).</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</si>
  <si>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_, limited),
  trainingDataAccess6(Principal, PiplineID, ModelID, TrainingDataID, write, limited),
  labeledDataAccess6(Principal, PiplineID, 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</si>
  <si>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 ModelID, LabeledDataID, write, limited),
  queryAccess5(Principal, PiplineID, ModelID, decision, limited),
  completeKnowledge3(Principal, PiplineID, ModelID).</t>
  </si>
  <si>
    <t>evasionAttack4(Principal, PiplineID, ModelID, tampering)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</si>
  <si>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mlModelCorruptionAttack3(Principal, PiplineID, ModelID, tampering_dos) :-
  malicious_p1(Principal),
  model_p7(PiplineID, AlgorithmID, ModelID, ModelHost, TrainingDataID, LabelsDataID, ValidationDataID),
  modelRetrainedContinuously_p2(PiplineID, ModelID),
  vulModel_p5(PiplineID, AlgorithmID, ModelID, ModelHost, evasionAttackVulnerability),
  rawDataAccess6(Principal, PiplineID, ModelID, RawDataID, write, limited),
  trainingDataAccess6(Principal, PiplineID, ModelID, TrainingDataID, write, limited),
  labeledDataAccess6(Principal, PiplineID, ModelID, LabeledDataID, write, limited),
  queryAccess5(Principal, PiplineID, ModelID, decision, limited),
  completeKnowledge3(Principal, PiplineID, ModelID).</t>
  </si>
  <si>
    <t>mlModelCorruptionAttack3(Principal, PiplineID, ModelID, tampering_dos) :-
  malicious_p1(Principal),
  model_p7(PiplineID, AlgorithmID, ModelID, ModelHost, TrainingDataID, LabelsDataID, ValidationDataID),
  modelRetrainedContinuously_p2(PiplineID, ModelID),
  vulModel_p5(PiplineID, AlgorithmID, ModelID, ModelHost, _),
  rawDataAccess6(Principal, PiplineID, ModelID, RawDataID, write, limited),
  trainingDataAccess6(Principal, PiplineID, ModelID, TrainingDataID, write, limited),
  labeledDataAccess6(Principal, PiplineID, ModelID, LabeledDataID, write, limited),
  surrogateDataAccess4(Principal, PiplineID, ModelID, full),
  queryAccess5(Principal, PiplineID, ModelID, decision, limited),
  trainingDataKnowledge5(Principal, PiplineID, ModelID, TrainingDataID, full),
  dataPropertiesKnowledge4(Principal, PiplineID, ModelID, full),
  taskKnowledge4(Principal, PiplineID, ModelID, full).</t>
  </si>
  <si>
    <t>membershipInferenceAttack4(Principal, PiplineID, ModelID, informationDisclosure) :-
  malicious_p1(Principal),
  model_p7(PiplineID, AlgorithmID, ModelID, ModelHost, TrainingDataID, LabelsDataID, ValidationDataID),
  vulModel_p5(PiplineID, AlgorithmID, ModelID, ModelHost, membershipInferenceAttackVulnerability),
  rawDataAccess6(Principal, PiplineID, ModelID, RawDataID, _, limited),
  trainingDataAccess6(Principal, PiplineID, ModelID, TrainingDataID, _, limited),
  queryAccess5(Principal, PiplineID, ModelID, decision, full),
  trainingDataKnowledge5(Principal, PiplineID, ModelID, TrainingDataID, partial),
  taskKnowledge4(Principal, PiplineID, ModelID, full).</t>
  </si>
  <si>
    <t>membershipInferenceAttack4(Principal, PiplineID, ModelID, informationDisclosure) :-
  malicious_p1(Principal),
  model_p7(PiplineID, AlgorithmID, ModelID, ModelHost, TrainingDataID, LabelsDataID, ValidationDataID),
  modelRetrainedContinuously_p2(PiplineID, ModelID),
  vulModel_p5(PiplineID, AlgorithmID, ModelID, ModelHost, membershipInferenceAttackVulnerability),
  modelAccess5(Principal, PiplineID, ModelID, _, full),
  predictionsAccess6(Principal, PiplineID, ModelID, PredictionsDataID, _, full),
  rawDataAccess6(Principal, PiplineID, ModelID, RawDataID, write, limited),
  trainingDataAccess6(Principal, PiplineID, ModelID, TrainingDataID, write, limited),
  queryAccess5(Principal, PiplineID, ModelID, score, full),
  modelKnowledge4(Principal, PiplineID, ModelID, full),
  hyperparametersKnowledge4(Principal, PiplineID, ModelID, full),
  algorithmKnowledge4(Principal, PiplineID, ModelID, full),
  trainingDataKnowledge5(Principal, PiplineID, ModelID, TrainingDataID, partial),
  taskKnowledge4(Principal, PiplineID, ModelID, full).</t>
  </si>
  <si>
    <t>membershipInferenceAttack4(Principal, PiplineID, ModelID, informationDisclosure) :-
  malicious_p1(Principal),
  model_p7(PiplineID, AlgorithmID, ModelID, ModelHost, TrainingDataID, LabelsDataID, ValidationDataID),
  vulModel_p5(PiplineID, AlgorithmID, ModelID, ModelHost, membershipInferenceAttackVulnerability),
  rawDataAccess6(Principal, PiplineID, ModelID, RawDataID, _, full),
  trainingDataAccess6(Principal, PiplineID, ModelID, TrainingDataID ,_, full),
  labeledDataAccess6(Principal, PiplineID, ModelID, LabeledDataID, _, full).</t>
  </si>
  <si>
    <t>dataPropertyInferenceAttack4(Principal, PiplineID, ModelID, informationDisclosure) :-
  malicious_p1(Principal),
  model_p7(PiplineID, AlgorithmID, ModelID, ModelHost, TrainingDataID, LabelsDataID, ValidationDataID),
  vulModel_p5(PiplineID, AlgorithmID, ModelID, ModelHost, dataPropertyInferenceAttackVulnerability),
  rawDataAccess6(Principal, PiplineID, ModelID, RawDataID, _, limited),
  trainingDataAccess6(Principal, PiplineID, ModelID, TrainingDataID ,_, limited),
  queryAccess5(Principal, PiplineID, ModelID, _, full),
  trainingDataKnowledge5(Principal, PiplineID, ModelID, TrainingDataID, partial),
  taskKnowledge4(Principal, PiplineID, ModelID, partial).</t>
  </si>
  <si>
    <t>dataPropertyInferenceAttack4(Principal, PiplineID, ModelID, informationDisclosure) :-
  malicious_p1(Principal),
  model_p7(PiplineID, AlgorithmID, ModelID, ModelHost, TrainingDataID, LabelsDataID, ValidationDataID),
  vulModel_p5(PiplineID, AlgorithmID, ModelID, ModelHost, dataPropertyInferenceAttackVulnerability),
  rawDataAccess6(Principal, PiplineID, ModelID, RawDataID, _, full),
  trainingDataAccess6(Principal, PiplineID, ModelID, TrainingDataID, _, full),
  labeledDataAccess6(Principal, PiplineID, ModelID, LabeledDataID, _, full).</t>
  </si>
  <si>
    <t>dataReconstructionAttack4(Principal, PiplineID, ModelID, informationDisclosure) :-
  malicious_p1(Principal),
  model_p7(PiplineID, AlgorithmID, ModelID, ModelHost, TrainingDataID, LabelsDataID, ValidationDataID),
  vulModel_p5(PiplineID, AlgorithmID, ModelID, ModelHost, dataReconstructionAttackVulnerability),
  modelAccess5(Principal, PiplineID, ModelID, _, limited),
  predictionsAccess6(Principal, PiplineID, ModelID, PredictionsDataID, _, limited),
  rawDataAccess6(Principal, PiplineID, ModelID, RawDataID, _, limited),
  trainingDataAccess6(Principal, PiplineID, ModelID, TrainingDataID, _, limited),
  queryAccess5(Principal, PiplineID, ModelID, _, full),
  modelKnowledge4(Principal, PiplineID, ModelID, full),
  trainingDataKnowledge5(Principal, PiplineID, ModelID, TrainingDataID, partial),
  rawDataKnowledge5(Principal, PiplineID, ModelID, RawDataID, partial),
  taskKnowledge4(Principal, PiplineID, ModelID, partial).</t>
  </si>
  <si>
    <t>dataReconstructionAttack4(Principal, PiplineID, ModelID, informationDisclosure) :-
  malicious_p1(Principal),
  model_p7(PiplineID, AlgorithmID, ModelID, ModelHost, TrainingDataID, LabelsDataID, ValidationDataID),
  vulModel_p5(PiplineID, AlgorithmID, ModelID, ModelHost, dataReconstructionAttackVulnerability),
  rawDataAccess6(Principal, PiplineID,ModelID, RawDataID, _, limited),
  trainingDataAccess6(Principal, PiplineID, ModelID, TrainingDataID, _, limited),
  queryAccess5(Principal, PiplineID, ModelID, _, full),
  trainingDataKnowledge5(Principal, PiplineID, ModelID, TrainingDataID, partial),
  rawDataKnowledge5(Principal, PiplineID, ModelID, RawDataID, partial),
  taskKnowledge4(Principal, PiplineID, ModelID, partial).</t>
  </si>
  <si>
    <t>dataReconstructionAttack4(Principal, PiplineID, ModelID, informationDisclosure) :-
  malicious_p1(Principal),
  model_p7(PiplineID, AlgorithmID, ModelID, ModelHost, TrainingDataID, LabelsDataID, ValidationDataID),
  rawDataAccess6(Principal, PiplineID, ModelID, RawDataID, _, full),
  trainingDataAccess6(Principal, PiplineID, ModelID, TrainingDataID, _, full),
  labeledDataAccess6(Principal, PiplineID, ModelID, LabeledDataID, _, full).</t>
  </si>
  <si>
    <t>modelExtractionAttack4(Principal, PiplineID, ModelID, informationDisclosure) :-
  malicious_p1(Principal),
  model_p7(PiplineID, AlgorithmID, ModelID, ModelHost, TrainingDataID, LabelsDataID, ValidationDataID),
  vulModel_p5(PiplineID, AlgorithmID, ModelID, ModelHost, modelExtractionAttackVulnerability),
  queryAccess5(Principal, PiplineID,ModelID, _, full),
  trainingDataKnowledge5(Principal, PiplineID, ModelID, TrainingDataID, partial),
  rawDataKnowledge5(Principal, PiplineID, ModelID, RawDataID, partial),
  taskKnowledge4(Principal, PiplineID, ModelID, partial).</t>
  </si>
  <si>
    <t>modelExtractionAttack4(Principal, PiplineID, ModelID, informationDisclosure) :-
  malicious_p1(Principal),
  model_p7(PiplineID, AlgorithmID, ModelID, ModelHost, TrainingDataID, LabelsDataID, ValidationDataID),
  vulModel_p5(PiplineID, AlgorithmID, ModelID, ModelHost, modelExtractionAttackVulnerability),
  modelAccess5(Principal, PiplineID, ModelID, _, full).</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</si>
  <si>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completeKnowledge3(Principal, PiplineID, ModelID),
  manipulateTrainingData3(Principal, PiplineID, ModelID).</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</si>
  <si>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externalSourceLabeling_p3(TrainingDataID, LabelingServiceId, false),
  hasAccessToLabelingService_p2(Principal, LabelingServiceId),
  completeKnowledge3(Principal, PiplineID, ModelID).</t>
  </si>
  <si>
    <t>labelManipulationAttack3(Principal, PiplineID, ModelID) :-
  malicious_p1(Principal),
  model_p7(PiplineID, AlgorithmID, ModelID, ModelHost, TrainingDataID, LabelsDataID, ValidationDataID),
  vulModel_p5(PiplineID, AlgorithmID, ModelID, ModelHost, labelManipulationAttackVulnerability),
  modelRetrainedContinuously_p2(PiplineID, ModelID),
  externalSourceLabeling_p3(TrainingDataID, LabelingServiceId, true),
  hasAccessToLabelingService_p2(Principal, LabelingServiceId),
  knowDataValidationMethod_p2(Principal, LabelingServiceId),
  completeKnowledge3(Principal, PiplineID, ModelID).</t>
  </si>
  <si>
    <t>manipulateTrainingData3(Principal, PiplineID, ModelID) :-
  malicious_p1(Principal),
  model_p7(PiplineID, AlgorithmID, ModelID, ModelHost, TrainingDataID, LabelsDataID, ValidationDataID),
  trainingData_p2(DataID, TrainingDataHost),
  accessFile4(Principal, TrainingDataHost, write, TrainingDataID).</t>
  </si>
  <si>
    <t>manipulateTrainingData3(Principal, PiplineID, ModelID) :-
  malicious_p1(Principal),
  trainingData_p2(TrainingDataID, TrainingDataHost),
  model_p7(PiplineID, AlgorithmID, ModelID, ModelHost, TrainingDataID, LabelsDataID, ValidationDataID),
  accessFile4(Principal, InputDataHost, write, InputDataID),
  dataTransformationJob6(JobID, JobHost, InputDataID, InputDataHost, TrainingDataID, TrainingDataHost).</t>
  </si>
  <si>
    <t>manipulateTrainingData3(Principal, PiplineID, ModelID) :-
  malicious_p1(Principal),
  model_p7(PiplineID, AlgorithmID, ModelID, ModelHost, TrainingDataID, LabelsDataID, ValidationDataID),
  accessFile4(Principal, InputDataHost, write, InputDataID),
  dataTransformationJob6(JobID1, JobHost1, InputDataID, InputDataHost, TransformedDataID, TransformedDataHost),
  dataTransformationJob6(JobID2, JobHost2, TransformedDataID, TransformedDataHost, TrainingDataID, TrainDataHost).</t>
  </si>
  <si>
    <t>dataTransformationJob6(JobID, WorkerHost, InputDataID, WorkerHost, TransformedDataID, TransformedDataHost) :-
  dataTransformationJob6(JobID, ClusterGatewayHost, InputDataID, ClusterGatewayHost, TransformedDataID, TransformedDataHost),
  clusterWorker_p3(WorkerHost, ClusterGatewayHost, ClusterMasterHost).</t>
  </si>
  <si>
    <t>modelAccess5(Principal, PiplineID, ModelID, read, AccessLevel) :-
  malicious_p1(Principal),
  model_p7(PiplineID, AlgorithmID, ModelID, ModelHost, TrainingDataID, LabelsDataID, ValidationDataID),
  accessFile4(Principal, ModelHost, read, ModelID).</t>
  </si>
  <si>
    <t>modelAccess5(Principal, PiplineID, ModelID, write, AccessLevel) :-
  malicious_p1(Principal),
  model_p7(PiplineID, AlgorithmID, ModelID, ModelHost, TrainingDataID, LabelsDataID, ValidationDataID),
  accessFile4(Principal, ModelHost, write, ModelID).</t>
  </si>
  <si>
    <t>trainingDataAccess6(Principal, PiplineID, ModelID, TrainingDataID, read, AccessLevel) :-
  malicious_p1(Principal),
  model_p7(PiplineID, AlgorithmID, ModelID, ModelHost, TrainingDataID, LabelsDataID, ValidationDataID),
  accessFile4(Principal, TrainDataHost, read, TrainingDataID).</t>
  </si>
  <si>
    <t>trainingDataAccess6(Principal, PiplineID, ModelID, TrainingDataID, write, AccessLevel) :-
  malicious_p1(Principal),
  model_p7(PiplineID, AlgorithmID, ModelID, ModelHost, TrainingDataID, LabelsDataID, ValidationDataID),
  accessFile4(Principal, TrainDataHost, write, TrainingDataID).</t>
  </si>
  <si>
    <t>trainingDataAccess6(Principal, PiplineID, ModelID, TrainingDataID, append, AccessLevel) :-
  malicious_p1(Principal),
  model_p7(PiplineID, AlgorithmID, ModelID, ModelHost, TrainingDataID, LabelsDataID, ValidationDataID),
  accessFile4(Principal, TrainDataHost, append, TrainingDataID).</t>
  </si>
  <si>
    <t>trainingDataAccess6(Principal, PiplineID, ModelID, TrainingDataID, write, AccessLevel) :-
  malicious_p1(Principal),
  model_p7(PiplineID, AlgorithmID, ModelID, ModelHost, TrainingDataID, LabelsDataID, ValidationDataID),
  manipulateTrainingData3(Principal, PiplineID, ModelID).</t>
  </si>
  <si>
    <t>queryAccess5(Principal, PiplineID, ModelID, PredictionsGranularity, AccessLevel) :-
  malicious_p1(Principal),
  predictionService_p8(PiplineID, ModelID, ServingApiID, PredictionServiceHost, Program, Prot, Port, PredictionsGranularity),
  netAccess5(Principal, _, PredictionServiceHost, Prot, Port).</t>
  </si>
  <si>
    <t>queryAccess5(Principal, PiplineID, ModelID, PredictionsGranularity, AccessLevel) :-
  malicious_p1(Principal),
  predictionService_p8(PiplineID, ModelID, ServingApiID, PredictionServiceHost, Program, Prot, Port, PredictionsGranularity),
  predictorClientApplication_p5(ClientApiID, ServingApiID, PredictorClientApplicationHost, Program),
  netAccess5(Principal, _, PredictorClientApplicationHost, Prot, Port).</t>
  </si>
  <si>
    <t>queryAccess5(Principal, PiplineID, ModelID, decision, AccessLevel) :-
  queryAccess5(Principal, PiplineID, ModelID, score, AccessLevel).</t>
  </si>
  <si>
    <t>queryAccess5(Principal, PiplineID, ModelID, PredictionsGranularity, limited) :-
  queryAccess5(Principal, PiplineID, ModelID, PredictionsGranularity, full).</t>
  </si>
  <si>
    <t>completeAccess4(Principal, PiplineID, ModelID, DataAccessPrivilege) :-
  modelAccess5(Principal, PiplineID, ModelID, DataAccessPrivilege, AccessLevel),
  predictionsAccess6(Principal, PiplineID, ModelID, PredictionsDataID, DataAccessPrivilege, AccessLevel),
  trainingDataAccess6(Principal, PiplineID, ModelID, TrainingDataID, DataAccessPrivilege, AccessLevel),
  validationDataAccess6(Principal, PiplineID, ModelID, ValidationDataID, DataAccessPrivilege, AccessLevel).</t>
  </si>
  <si>
    <t>modelKnowledge4(Principal, PiplineID, ModelID, KnowledgeLevel) :-
  malicious_p1(Principal),
  model_p7(PiplineID, AlgorithmID, ModelID, ModelHost, TrainingDataID, LabelsDataID, ValidationDataID),
  publicModel_p1(ModelID).</t>
  </si>
  <si>
    <t>modelKnowledge4(Principal, PiplineID, ModelID, KnowledgeLevel) :-
  malicious_p1(Principal),
  model_p7(PiplineID, AlgorithmID, ModelID, ModelHost, TrainingDataID, LabelsDataID, ValidationDataID),
  modelAccess5(Principal, PiplineID, ModelID, _, _).</t>
  </si>
  <si>
    <t>hyperparametersKnowledge4(Principal, PiplineID, ModelID, KnowledgeLevel) :-
 malicious_p1(Principal),
 model_p7(PiplineID, AlgorithmID, ModelID, ModelHost, TrainingDataID, LabelsDataID, ValidationDataID),
 publicModel_p1(ModelID).</t>
  </si>
  <si>
    <t>hyperparametersKnowledge4(Principal, PiplineID, ModelID, KnowledgeLevel) :-
  malicious_p1(Principal),
  model_p7(PiplineID, AlgorithmID, ModelID, ModelHost, TrainingDataID, LabelsDataID, ValidationDataID),
  modelAccess5(Principal, PiplineID, ModelID, _, _).</t>
  </si>
  <si>
    <t>algorithmKnowledge4(Principal, PiplineID, ModelID, KnowledgeLevel) :-
  malicious_p1(Principal),
  model_p7(PiplineID, AlgorithmID, ModelID, ModelHost, TrainingDataID, LabelsDataID, ValidationDataID),
  publicModel_p1(ModelID).</t>
  </si>
  <si>
    <t>algorithmKnowledge4(Principal, PiplineID, ModelID, KnowledgeLevel) :-
  malicious_p1(Principal),
  model_p7(PiplineID, AlgorithmID, ModelID, ModelHost, TrainingDataID, LabelsDataID, ValidationDataID),
  modelAccess5(Principal, PiplineID, ModelID, read, _).</t>
  </si>
  <si>
    <t>trainingDataKnowledge5(Principal, PiplineID, ModelID, TrainingDataID, KnowledgeLevel) :-
  malicious_p1(Principal),
  model_p7(PiplineID, AlgorithmID, ModelID, ModelHost, TrainingDataID, LabelsDataID, ValidationDataID),
  dataIsPublic_p1(TrainingDataID).</t>
  </si>
  <si>
    <t>trainingDataKnowledge5(Principal, PiplineID, ModelID, TrainingDataID, KnowledgeLevel) :-
  trainingDataAccess6(Principal, PiplineID, ModelID, TrainingDataID, DataAccessPrivilege, AccessLevel).</t>
  </si>
  <si>
    <t>completeKnowledge3(Principal, PiplineID, ModelID) :-
  malicious_p1(Principal),
  modelKnowledge4(Principal, PiplineID, ModelID, KnowledgeLevel),
  hyperparametersKnowledge4(Principal, PiplineID, ModelID, KnowledgeLevel),
  algorithmKnowledge4(Principal, PiplineID, ModelID, KnowledgeLevel),
  trainingDataKnowledge5(Principal, PiplineID, ModelID, TrainingDataID, KnowledgeLevel),
  rawDataKnowledge5(Principal, PiplineID, ModelID, RawDataID, KnowledgeLevel),
  dataPropertiesKnowledge4(Principal, PiplineID, ModelID, KnowledgeLevel),
  taskKnowledge4(Principal, PiplineID, ModelID, KnowledgeLevel).</t>
  </si>
  <si>
    <t>completeKnowledge3(Principal, PiplineID, ModelID) :-
  malicious_p1(Principal),
  completeAccess4(Principal, PiplineID, ModelID, _).</t>
  </si>
  <si>
    <t>createSurrogateModel3(Principal, PiplineID, ModelID) :-
  malicious_p1(Principal),
  model_p7(PiplineID, AlgorithmID, ModelID, ModelHost, TrainingDataID, LabelsDataID, ValidationDataID),
  queryAccess5(Principal, PiplineID, ModelID, score, AccessLevel).</t>
  </si>
  <si>
    <t>createSurrogateModel3(Principal, PiplineID, ModelID) :-
  malicious_p1(Principal),
  model_p7(PiplineID, AlgorithmID, ModelID, ModelHost, TrainingDataID, LabelsDataID, ValidationDataID),
  trainingDataKnowledge5(Principal, PiplineID, ModelID, TrainingDataID, KnowledgeLevel).</t>
  </si>
  <si>
    <t>Number of Enterprise ATT&amp;CK Techniques and Sub-Techniques</t>
  </si>
  <si>
    <t>Tactic</t>
  </si>
  <si>
    <t># Techniques</t>
  </si>
  <si>
    <t># Covered</t>
  </si>
  <si>
    <t>% Covered</t>
  </si>
  <si>
    <t># Double Counted</t>
  </si>
  <si>
    <t># Unique Techniques</t>
  </si>
  <si>
    <t># Sub-Techniques</t>
  </si>
  <si>
    <t># Unique Sub-Techniques</t>
  </si>
  <si>
    <t>Sum</t>
  </si>
  <si>
    <t>Techniques in more than one Tactic</t>
  </si>
  <si>
    <t>Tactic 1</t>
  </si>
  <si>
    <t>Tactic 2</t>
  </si>
  <si>
    <t>Tactic 3</t>
  </si>
  <si>
    <t>Tactic 4</t>
  </si>
  <si>
    <t>Should Separate</t>
  </si>
  <si>
    <t>From Technique Description</t>
  </si>
  <si>
    <t>No</t>
  </si>
  <si>
    <t>Yes</t>
  </si>
  <si>
    <t>Since some boot or logon autostart programs run with higher privileges, an adversary may leverage these to elevate privileges.</t>
  </si>
  <si>
    <t>An adversary may also be able to escalate their privileges since some boot or logon initialization scripts run with higher privileges.</t>
  </si>
  <si>
    <t>Services, daemons, or agents may be created with administrator privileges but executed under root/SYSTEM privileges. Adversaries may leverage this functionality to create or modify system processes in order to escalate privileges.</t>
  </si>
  <si>
    <t>Since the execution can be proxied by an account with higher permissions, such as SYSTEM or service accounts, an adversary may be able to abuse these triggered execution mechanisms to escalate their privileges.</t>
  </si>
  <si>
    <t>Techniques for name service resolution poisoning can be used to capture credentials to websites, proxies, and internal systems by redirecting traffic to an adversary.</t>
  </si>
  <si>
    <t>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t>
  </si>
  <si>
    <t>These mechanisms can also be abused to run a process under the context of a specified account (such as one with elevated permissions/privileges).</t>
  </si>
  <si>
    <t xml:space="preserve">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 </t>
  </si>
</sst>
</file>

<file path=xl/styles.xml><?xml version="1.0" encoding="utf-8"?>
<styleSheet xmlns="http://schemas.openxmlformats.org/spreadsheetml/2006/main">
  <fonts count="7">
    <font>
      <sz val="11"/>
      <color theme="1"/>
      <name val="Arial"/>
    </font>
    <font>
      <b/>
      <sz val="11"/>
      <color theme="1"/>
      <name val="Calibri"/>
    </font>
    <font>
      <b/>
      <sz val="11"/>
      <color theme="1"/>
      <name val="Arial"/>
    </font>
    <font>
      <sz val="11"/>
      <name val="Arial"/>
    </font>
    <font>
      <sz val="11"/>
      <color theme="1"/>
      <name val="Calibri"/>
    </font>
    <font>
      <sz val="11"/>
      <color theme="1"/>
      <name val="Calibri"/>
    </font>
    <font>
      <b/>
      <u/>
      <sz val="11"/>
      <color theme="1"/>
      <name val="Calibri"/>
    </font>
  </fonts>
  <fills count="5">
    <fill>
      <patternFill patternType="none"/>
    </fill>
    <fill>
      <patternFill patternType="gray125"/>
    </fill>
    <fill>
      <patternFill patternType="solid">
        <fgColor rgb="FFB6DDE8"/>
        <bgColor rgb="FFB6DDE8"/>
      </patternFill>
    </fill>
    <fill>
      <patternFill patternType="solid">
        <fgColor rgb="FFD8D8D8"/>
        <bgColor rgb="FFD8D8D8"/>
      </patternFill>
    </fill>
    <fill>
      <patternFill patternType="solid">
        <fgColor rgb="FFDAEEF3"/>
        <bgColor rgb="FFDAEEF3"/>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applyFont="1" applyAlignment="1"/>
    <xf numFmtId="0" fontId="1" fillId="0" borderId="1" xfId="0" applyFont="1" applyBorder="1"/>
    <xf numFmtId="0" fontId="1" fillId="0" borderId="2" xfId="0" applyFont="1" applyBorder="1"/>
    <xf numFmtId="0" fontId="4" fillId="0" borderId="2" xfId="0" applyFont="1" applyBorder="1" applyAlignment="1">
      <alignment vertical="top"/>
    </xf>
    <xf numFmtId="0" fontId="1" fillId="0" borderId="6" xfId="0" applyFont="1" applyBorder="1"/>
    <xf numFmtId="0" fontId="1" fillId="0" borderId="2" xfId="0" applyFont="1" applyBorder="1" applyAlignment="1">
      <alignment vertical="center"/>
    </xf>
    <xf numFmtId="0" fontId="2" fillId="0" borderId="0" xfId="0" applyFont="1" applyAlignment="1">
      <alignment horizontal="center"/>
    </xf>
    <xf numFmtId="0" fontId="4" fillId="0" borderId="2" xfId="0" applyFont="1" applyBorder="1" applyAlignment="1">
      <alignment horizontal="left" vertical="top"/>
    </xf>
    <xf numFmtId="0" fontId="4" fillId="0" borderId="6" xfId="0" applyFont="1" applyBorder="1" applyAlignment="1">
      <alignment wrapText="1"/>
    </xf>
    <xf numFmtId="0" fontId="4" fillId="0" borderId="2" xfId="0" applyFont="1" applyBorder="1" applyAlignment="1">
      <alignment vertical="center"/>
    </xf>
    <xf numFmtId="0" fontId="4" fillId="0" borderId="2" xfId="0" applyFont="1" applyBorder="1" applyAlignment="1">
      <alignment horizontal="center" vertical="center"/>
    </xf>
    <xf numFmtId="0" fontId="4" fillId="0" borderId="6" xfId="0" applyFont="1" applyBorder="1"/>
    <xf numFmtId="0" fontId="4" fillId="0" borderId="2" xfId="0" applyFont="1" applyBorder="1" applyAlignment="1">
      <alignment horizontal="center" vertical="center"/>
    </xf>
    <xf numFmtId="0" fontId="4" fillId="0" borderId="1" xfId="0" applyFont="1" applyBorder="1" applyAlignment="1">
      <alignment horizontal="left" vertical="top"/>
    </xf>
    <xf numFmtId="0" fontId="4" fillId="0" borderId="7" xfId="0" applyFont="1" applyBorder="1" applyAlignment="1">
      <alignment wrapText="1"/>
    </xf>
    <xf numFmtId="0" fontId="4" fillId="0" borderId="1" xfId="0" applyFont="1" applyBorder="1" applyAlignment="1">
      <alignment vertical="center"/>
    </xf>
    <xf numFmtId="0" fontId="4" fillId="0" borderId="2" xfId="0" applyFont="1" applyBorder="1" applyAlignment="1">
      <alignment wrapText="1"/>
    </xf>
    <xf numFmtId="0" fontId="4" fillId="0" borderId="2" xfId="0" applyFont="1" applyBorder="1" applyAlignment="1">
      <alignment vertical="center" wrapText="1"/>
    </xf>
    <xf numFmtId="0" fontId="4" fillId="0" borderId="8" xfId="0" applyFont="1" applyBorder="1"/>
    <xf numFmtId="0" fontId="4" fillId="0" borderId="9" xfId="0" applyFont="1" applyBorder="1" applyAlignment="1">
      <alignment vertical="center"/>
    </xf>
    <xf numFmtId="0" fontId="4" fillId="3" borderId="2" xfId="0" applyFont="1" applyFill="1" applyBorder="1" applyAlignment="1">
      <alignment horizontal="left" vertical="top"/>
    </xf>
    <xf numFmtId="0" fontId="4" fillId="0" borderId="6" xfId="0" applyFont="1" applyBorder="1" applyAlignment="1">
      <alignment vertical="center" wrapText="1"/>
    </xf>
    <xf numFmtId="0" fontId="4" fillId="0" borderId="6" xfId="0" applyFont="1" applyBorder="1" applyAlignment="1">
      <alignment wrapText="1"/>
    </xf>
    <xf numFmtId="0" fontId="4" fillId="0" borderId="7" xfId="0" applyFont="1" applyBorder="1"/>
    <xf numFmtId="0" fontId="4" fillId="0" borderId="2" xfId="0" applyFont="1" applyBorder="1"/>
    <xf numFmtId="0" fontId="5" fillId="0" borderId="2" xfId="0" applyFont="1" applyBorder="1" applyAlignment="1">
      <alignment wrapText="1"/>
    </xf>
    <xf numFmtId="0" fontId="4" fillId="0" borderId="2" xfId="0" applyFont="1" applyBorder="1" applyAlignment="1">
      <alignment vertical="center"/>
    </xf>
    <xf numFmtId="0" fontId="5" fillId="0" borderId="2" xfId="0" applyFont="1" applyBorder="1" applyAlignment="1">
      <alignment wrapText="1"/>
    </xf>
    <xf numFmtId="0" fontId="6" fillId="0" borderId="0" xfId="0" applyFont="1"/>
    <xf numFmtId="0" fontId="1" fillId="0" borderId="2" xfId="0" applyFont="1" applyBorder="1" applyAlignment="1">
      <alignment horizontal="center"/>
    </xf>
    <xf numFmtId="0" fontId="1" fillId="0" borderId="2" xfId="0" applyFont="1" applyBorder="1" applyAlignment="1">
      <alignment horizontal="center"/>
    </xf>
    <xf numFmtId="0" fontId="4" fillId="0" borderId="2" xfId="0" applyFont="1" applyBorder="1" applyAlignment="1">
      <alignment horizontal="center"/>
    </xf>
    <xf numFmtId="0" fontId="4" fillId="0" borderId="2" xfId="0" applyFont="1" applyBorder="1" applyAlignment="1">
      <alignment horizontal="center"/>
    </xf>
    <xf numFmtId="10" fontId="4" fillId="0" borderId="2" xfId="0" applyNumberFormat="1" applyFont="1" applyBorder="1" applyAlignment="1">
      <alignment horizontal="center"/>
    </xf>
    <xf numFmtId="0" fontId="4" fillId="0" borderId="2" xfId="0" applyFont="1" applyBorder="1" applyAlignment="1">
      <alignment horizontal="left"/>
    </xf>
    <xf numFmtId="0" fontId="1" fillId="0" borderId="2" xfId="0" applyFont="1" applyBorder="1" applyAlignment="1">
      <alignment horizontal="left"/>
    </xf>
    <xf numFmtId="2" fontId="1" fillId="0" borderId="0" xfId="0" applyNumberFormat="1" applyFont="1" applyAlignment="1">
      <alignment horizontal="center"/>
    </xf>
    <xf numFmtId="0" fontId="1" fillId="2" borderId="2" xfId="0" applyFont="1" applyFill="1" applyBorder="1" applyAlignment="1"/>
    <xf numFmtId="0" fontId="4" fillId="0" borderId="2" xfId="0" applyFont="1" applyBorder="1" applyAlignment="1">
      <alignment horizontal="left" vertical="center"/>
    </xf>
    <xf numFmtId="0" fontId="2" fillId="0" borderId="2" xfId="0" applyFont="1" applyBorder="1" applyAlignment="1">
      <alignment horizontal="center" wrapText="1"/>
    </xf>
    <xf numFmtId="0" fontId="4" fillId="4" borderId="2" xfId="0" applyFont="1" applyFill="1" applyBorder="1" applyAlignment="1">
      <alignment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horizontal="center" vertical="center"/>
    </xf>
    <xf numFmtId="0" fontId="5" fillId="0" borderId="2" xfId="0" applyFont="1" applyBorder="1" applyAlignment="1">
      <alignment wrapText="1"/>
    </xf>
    <xf numFmtId="0" fontId="2" fillId="2" borderId="3" xfId="0" applyFont="1" applyFill="1" applyBorder="1" applyAlignment="1">
      <alignment horizontal="center"/>
    </xf>
    <xf numFmtId="0" fontId="3" fillId="0" borderId="4" xfId="0" applyFont="1" applyBorder="1"/>
    <xf numFmtId="0" fontId="3" fillId="0" borderId="5"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093"/>
  <sheetViews>
    <sheetView tabSelected="1" workbookViewId="0">
      <pane ySplit="1" topLeftCell="A2" activePane="bottomLeft" state="frozen"/>
      <selection pane="bottomLeft"/>
    </sheetView>
  </sheetViews>
  <sheetFormatPr defaultColWidth="12.625" defaultRowHeight="15" customHeight="1"/>
  <cols>
    <col min="1" max="1" width="36.75" customWidth="1"/>
    <col min="2" max="2" width="79.375" customWidth="1"/>
    <col min="3" max="3" width="12.75" customWidth="1"/>
    <col min="4" max="23" width="8.625" customWidth="1"/>
  </cols>
  <sheetData>
    <row r="1" spans="1:3">
      <c r="A1" s="1" t="s">
        <v>0</v>
      </c>
      <c r="B1" s="2" t="s">
        <v>1</v>
      </c>
      <c r="C1" s="2" t="s">
        <v>2</v>
      </c>
    </row>
    <row r="2" spans="1:3" ht="14.25" customHeight="1">
      <c r="A2" s="46" t="s">
        <v>3</v>
      </c>
      <c r="B2" s="47"/>
      <c r="C2" s="48"/>
    </row>
    <row r="3" spans="1:3">
      <c r="A3" s="3" t="s">
        <v>4</v>
      </c>
      <c r="B3" s="4"/>
      <c r="C3" s="5"/>
    </row>
    <row r="4" spans="1:3">
      <c r="A4" s="3" t="s">
        <v>5</v>
      </c>
      <c r="B4" s="4"/>
      <c r="C4" s="5"/>
    </row>
    <row r="5" spans="1:3">
      <c r="A5" s="3" t="s">
        <v>6</v>
      </c>
      <c r="B5" s="4"/>
      <c r="C5" s="5"/>
    </row>
    <row r="6" spans="1:3">
      <c r="A6" s="3" t="s">
        <v>7</v>
      </c>
      <c r="B6" s="4"/>
      <c r="C6" s="5"/>
    </row>
    <row r="7" spans="1:3">
      <c r="A7" s="3" t="s">
        <v>8</v>
      </c>
      <c r="B7" s="4"/>
      <c r="C7" s="5"/>
    </row>
    <row r="8" spans="1:3">
      <c r="A8" s="3" t="s">
        <v>9</v>
      </c>
      <c r="B8" s="4"/>
      <c r="C8" s="5"/>
    </row>
    <row r="9" spans="1:3">
      <c r="A9" s="3" t="s">
        <v>10</v>
      </c>
      <c r="B9" s="4"/>
      <c r="C9" s="5"/>
    </row>
    <row r="10" spans="1:3">
      <c r="A10" s="3" t="s">
        <v>11</v>
      </c>
      <c r="B10" s="4"/>
      <c r="C10" s="5"/>
    </row>
    <row r="11" spans="1:3">
      <c r="A11" s="3" t="s">
        <v>12</v>
      </c>
      <c r="B11" s="4"/>
      <c r="C11" s="5"/>
    </row>
    <row r="12" spans="1:3">
      <c r="A12" s="3" t="s">
        <v>13</v>
      </c>
      <c r="B12" s="4"/>
      <c r="C12" s="5"/>
    </row>
    <row r="13" spans="1:3">
      <c r="A13" s="46" t="s">
        <v>14</v>
      </c>
      <c r="B13" s="47"/>
      <c r="C13" s="48"/>
    </row>
    <row r="14" spans="1:3">
      <c r="A14" s="3" t="s">
        <v>15</v>
      </c>
      <c r="B14" s="4"/>
      <c r="C14" s="5"/>
    </row>
    <row r="15" spans="1:3">
      <c r="A15" s="3" t="s">
        <v>16</v>
      </c>
      <c r="B15" s="4"/>
      <c r="C15" s="5"/>
    </row>
    <row r="16" spans="1:3">
      <c r="A16" s="3" t="s">
        <v>17</v>
      </c>
      <c r="B16" s="4"/>
      <c r="C16" s="5"/>
    </row>
    <row r="17" spans="1:23">
      <c r="A17" s="3" t="s">
        <v>18</v>
      </c>
      <c r="B17" s="4"/>
      <c r="C17" s="5"/>
    </row>
    <row r="18" spans="1:23">
      <c r="A18" s="3" t="s">
        <v>19</v>
      </c>
      <c r="B18" s="4"/>
      <c r="C18" s="5"/>
    </row>
    <row r="19" spans="1:23">
      <c r="A19" s="3" t="s">
        <v>20</v>
      </c>
      <c r="B19" s="4"/>
      <c r="C19" s="5"/>
    </row>
    <row r="20" spans="1:23">
      <c r="A20" s="46" t="s">
        <v>21</v>
      </c>
      <c r="B20" s="47"/>
      <c r="C20" s="48"/>
      <c r="D20" s="6"/>
      <c r="E20" s="6"/>
      <c r="F20" s="6"/>
      <c r="G20" s="6"/>
      <c r="H20" s="6"/>
      <c r="I20" s="6"/>
      <c r="J20" s="6"/>
      <c r="K20" s="6"/>
      <c r="L20" s="6"/>
      <c r="M20" s="6"/>
      <c r="N20" s="6"/>
      <c r="O20" s="6"/>
      <c r="P20" s="6"/>
      <c r="Q20" s="6"/>
      <c r="R20" s="6"/>
      <c r="S20" s="6"/>
      <c r="T20" s="6"/>
      <c r="U20" s="6"/>
      <c r="V20" s="6"/>
      <c r="W20" s="6"/>
    </row>
    <row r="21" spans="1:23" ht="75">
      <c r="A21" s="7" t="s">
        <v>22</v>
      </c>
      <c r="B21" s="8" t="s">
        <v>23</v>
      </c>
      <c r="C21" s="9" t="s">
        <v>24</v>
      </c>
    </row>
    <row r="22" spans="1:23" ht="60">
      <c r="A22" s="7"/>
      <c r="B22" s="8" t="s">
        <v>25</v>
      </c>
      <c r="C22" s="9" t="s">
        <v>26</v>
      </c>
    </row>
    <row r="23" spans="1:23" ht="75">
      <c r="A23" s="7" t="s">
        <v>27</v>
      </c>
      <c r="B23" s="8" t="s">
        <v>28</v>
      </c>
      <c r="C23" s="9" t="s">
        <v>29</v>
      </c>
    </row>
    <row r="24" spans="1:23" ht="75">
      <c r="A24" s="7"/>
      <c r="B24" s="8" t="s">
        <v>30</v>
      </c>
      <c r="C24" s="9" t="s">
        <v>31</v>
      </c>
    </row>
    <row r="25" spans="1:23" ht="60">
      <c r="A25" s="7"/>
      <c r="B25" s="8" t="s">
        <v>32</v>
      </c>
      <c r="C25" s="9" t="s">
        <v>26</v>
      </c>
    </row>
    <row r="26" spans="1:23" ht="60">
      <c r="A26" s="7" t="s">
        <v>33</v>
      </c>
      <c r="B26" s="8" t="s">
        <v>34</v>
      </c>
      <c r="C26" s="9" t="s">
        <v>24</v>
      </c>
    </row>
    <row r="27" spans="1:23">
      <c r="A27" s="7" t="s">
        <v>35</v>
      </c>
      <c r="B27" s="11"/>
      <c r="C27" s="9"/>
    </row>
    <row r="28" spans="1:23" ht="90">
      <c r="A28" s="7" t="s">
        <v>36</v>
      </c>
      <c r="B28" s="8" t="s">
        <v>37</v>
      </c>
      <c r="C28" s="9" t="s">
        <v>29</v>
      </c>
    </row>
    <row r="29" spans="1:23">
      <c r="A29" s="7" t="s">
        <v>38</v>
      </c>
      <c r="B29" s="11"/>
      <c r="C29" s="9"/>
    </row>
    <row r="30" spans="1:23">
      <c r="A30" s="7" t="s">
        <v>39</v>
      </c>
      <c r="B30" s="11"/>
      <c r="C30" s="9"/>
    </row>
    <row r="31" spans="1:23">
      <c r="A31" s="7" t="s">
        <v>40</v>
      </c>
      <c r="B31" s="11"/>
      <c r="C31" s="9"/>
    </row>
    <row r="32" spans="1:23" ht="60">
      <c r="A32" s="7" t="s">
        <v>41</v>
      </c>
      <c r="B32" s="8" t="s">
        <v>42</v>
      </c>
      <c r="C32" s="9" t="s">
        <v>29</v>
      </c>
    </row>
    <row r="33" spans="1:3" ht="60">
      <c r="A33" s="13"/>
      <c r="B33" s="14" t="s">
        <v>43</v>
      </c>
      <c r="C33" s="15" t="s">
        <v>29</v>
      </c>
    </row>
    <row r="34" spans="1:3" ht="60">
      <c r="A34" s="7"/>
      <c r="B34" s="16" t="s">
        <v>44</v>
      </c>
      <c r="C34" s="9" t="s">
        <v>26</v>
      </c>
    </row>
    <row r="35" spans="1:3">
      <c r="A35" s="46" t="s">
        <v>45</v>
      </c>
      <c r="B35" s="47"/>
      <c r="C35" s="48"/>
    </row>
    <row r="36" spans="1:3" ht="105">
      <c r="A36" s="7" t="s">
        <v>46</v>
      </c>
      <c r="B36" s="8" t="s">
        <v>47</v>
      </c>
      <c r="C36" s="9" t="s">
        <v>48</v>
      </c>
    </row>
    <row r="37" spans="1:3" ht="75">
      <c r="A37" s="7" t="s">
        <v>49</v>
      </c>
      <c r="B37" s="8" t="s">
        <v>50</v>
      </c>
      <c r="C37" s="9" t="s">
        <v>29</v>
      </c>
    </row>
    <row r="38" spans="1:3" ht="90">
      <c r="A38" s="7"/>
      <c r="B38" s="8" t="s">
        <v>37</v>
      </c>
      <c r="C38" s="9" t="s">
        <v>29</v>
      </c>
    </row>
    <row r="39" spans="1:3" ht="45">
      <c r="A39" s="7"/>
      <c r="B39" s="8" t="s">
        <v>51</v>
      </c>
      <c r="C39" s="9" t="s">
        <v>29</v>
      </c>
    </row>
    <row r="40" spans="1:3" ht="75">
      <c r="A40" s="7"/>
      <c r="B40" s="8" t="s">
        <v>52</v>
      </c>
      <c r="C40" s="9" t="s">
        <v>29</v>
      </c>
    </row>
    <row r="41" spans="1:3" ht="90">
      <c r="A41" s="7"/>
      <c r="B41" s="8" t="s">
        <v>53</v>
      </c>
      <c r="C41" s="9" t="s">
        <v>29</v>
      </c>
    </row>
    <row r="42" spans="1:3" ht="75">
      <c r="A42" s="7"/>
      <c r="B42" s="8" t="s">
        <v>54</v>
      </c>
      <c r="C42" s="9" t="s">
        <v>55</v>
      </c>
    </row>
    <row r="43" spans="1:3" ht="45">
      <c r="A43" s="7"/>
      <c r="B43" s="8" t="s">
        <v>56</v>
      </c>
      <c r="C43" s="9" t="s">
        <v>57</v>
      </c>
    </row>
    <row r="44" spans="1:3" ht="60">
      <c r="A44" s="7"/>
      <c r="B44" s="8" t="s">
        <v>25</v>
      </c>
      <c r="C44" s="9" t="s">
        <v>26</v>
      </c>
    </row>
    <row r="45" spans="1:3" ht="60">
      <c r="A45" s="7"/>
      <c r="B45" s="16" t="s">
        <v>58</v>
      </c>
      <c r="C45" s="9" t="s">
        <v>26</v>
      </c>
    </row>
    <row r="46" spans="1:3" ht="45">
      <c r="A46" s="7"/>
      <c r="B46" s="17" t="s">
        <v>59</v>
      </c>
      <c r="C46" s="9" t="s">
        <v>60</v>
      </c>
    </row>
    <row r="47" spans="1:3" ht="60">
      <c r="A47" s="7"/>
      <c r="B47" s="17" t="s">
        <v>61</v>
      </c>
      <c r="C47" s="9" t="s">
        <v>60</v>
      </c>
    </row>
    <row r="48" spans="1:3">
      <c r="A48" s="7" t="s">
        <v>62</v>
      </c>
      <c r="B48" s="18"/>
      <c r="C48" s="19"/>
    </row>
    <row r="49" spans="1:3">
      <c r="A49" s="7" t="s">
        <v>63</v>
      </c>
      <c r="B49" s="11"/>
      <c r="C49" s="9"/>
    </row>
    <row r="50" spans="1:3">
      <c r="A50" s="7" t="s">
        <v>64</v>
      </c>
      <c r="B50" s="11"/>
      <c r="C50" s="9"/>
    </row>
    <row r="51" spans="1:3" ht="45">
      <c r="A51" s="7" t="s">
        <v>65</v>
      </c>
      <c r="B51" s="8" t="s">
        <v>66</v>
      </c>
      <c r="C51" s="9" t="s">
        <v>55</v>
      </c>
    </row>
    <row r="52" spans="1:3">
      <c r="A52" s="7" t="s">
        <v>67</v>
      </c>
      <c r="B52" s="11"/>
      <c r="C52" s="9"/>
    </row>
    <row r="53" spans="1:3" ht="75">
      <c r="A53" s="7" t="s">
        <v>68</v>
      </c>
      <c r="B53" s="8" t="s">
        <v>69</v>
      </c>
      <c r="C53" s="9" t="s">
        <v>31</v>
      </c>
    </row>
    <row r="54" spans="1:3" ht="90">
      <c r="A54" s="7" t="s">
        <v>70</v>
      </c>
      <c r="B54" s="8" t="s">
        <v>37</v>
      </c>
      <c r="C54" s="9" t="s">
        <v>29</v>
      </c>
    </row>
    <row r="55" spans="1:3" ht="75">
      <c r="A55" s="7"/>
      <c r="B55" s="8" t="s">
        <v>54</v>
      </c>
      <c r="C55" s="9" t="s">
        <v>55</v>
      </c>
    </row>
    <row r="56" spans="1:3" ht="60">
      <c r="A56" s="7"/>
      <c r="B56" s="8" t="s">
        <v>25</v>
      </c>
      <c r="C56" s="9" t="s">
        <v>26</v>
      </c>
    </row>
    <row r="57" spans="1:3" ht="60">
      <c r="A57" s="7"/>
      <c r="B57" s="16" t="s">
        <v>58</v>
      </c>
      <c r="C57" s="9" t="s">
        <v>26</v>
      </c>
    </row>
    <row r="58" spans="1:3">
      <c r="A58" s="7" t="s">
        <v>71</v>
      </c>
      <c r="B58" s="11"/>
      <c r="C58" s="9"/>
    </row>
    <row r="59" spans="1:3">
      <c r="A59" s="46" t="s">
        <v>72</v>
      </c>
      <c r="B59" s="47"/>
      <c r="C59" s="48"/>
    </row>
    <row r="60" spans="1:3">
      <c r="A60" s="7" t="s">
        <v>73</v>
      </c>
      <c r="B60" s="11"/>
      <c r="C60" s="9"/>
    </row>
    <row r="61" spans="1:3">
      <c r="A61" s="7" t="s">
        <v>74</v>
      </c>
      <c r="B61" s="11"/>
      <c r="C61" s="9"/>
    </row>
    <row r="62" spans="1:3">
      <c r="A62" s="7" t="s">
        <v>75</v>
      </c>
      <c r="B62" s="11"/>
      <c r="C62" s="9"/>
    </row>
    <row r="63" spans="1:3">
      <c r="A63" s="7" t="s">
        <v>76</v>
      </c>
      <c r="B63" s="11"/>
      <c r="C63" s="9"/>
    </row>
    <row r="64" spans="1:3">
      <c r="A64" s="7" t="s">
        <v>77</v>
      </c>
      <c r="B64" s="11"/>
      <c r="C64" s="9"/>
    </row>
    <row r="65" spans="1:3">
      <c r="A65" s="7" t="s">
        <v>78</v>
      </c>
      <c r="B65" s="11"/>
      <c r="C65" s="9"/>
    </row>
    <row r="66" spans="1:3">
      <c r="A66" s="7" t="s">
        <v>79</v>
      </c>
      <c r="B66" s="11"/>
      <c r="C66" s="9"/>
    </row>
    <row r="67" spans="1:3">
      <c r="A67" s="7" t="s">
        <v>80</v>
      </c>
      <c r="B67" s="11"/>
      <c r="C67" s="9"/>
    </row>
    <row r="68" spans="1:3">
      <c r="A68" s="7" t="s">
        <v>81</v>
      </c>
      <c r="B68" s="11"/>
      <c r="C68" s="9"/>
    </row>
    <row r="69" spans="1:3" ht="60">
      <c r="A69" s="20" t="s">
        <v>33</v>
      </c>
      <c r="B69" s="8" t="s">
        <v>34</v>
      </c>
      <c r="C69" s="9" t="s">
        <v>24</v>
      </c>
    </row>
    <row r="70" spans="1:3">
      <c r="A70" s="7" t="s">
        <v>82</v>
      </c>
      <c r="B70" s="11"/>
      <c r="C70" s="9"/>
    </row>
    <row r="71" spans="1:3">
      <c r="A71" s="7" t="s">
        <v>83</v>
      </c>
      <c r="B71" s="11"/>
      <c r="C71" s="9"/>
    </row>
    <row r="72" spans="1:3">
      <c r="A72" s="7" t="s">
        <v>84</v>
      </c>
      <c r="B72" s="11"/>
      <c r="C72" s="9"/>
    </row>
    <row r="73" spans="1:3">
      <c r="A73" s="7" t="s">
        <v>85</v>
      </c>
      <c r="B73" s="11"/>
      <c r="C73" s="9"/>
    </row>
    <row r="74" spans="1:3">
      <c r="A74" s="20" t="s">
        <v>64</v>
      </c>
      <c r="B74" s="11"/>
      <c r="C74" s="9"/>
    </row>
    <row r="75" spans="1:3">
      <c r="A75" s="7" t="s">
        <v>86</v>
      </c>
      <c r="B75" s="11"/>
      <c r="C75" s="9"/>
    </row>
    <row r="76" spans="1:3">
      <c r="A76" s="7" t="s">
        <v>87</v>
      </c>
      <c r="B76" s="11"/>
      <c r="C76" s="9"/>
    </row>
    <row r="77" spans="1:3" ht="60">
      <c r="A77" s="20" t="s">
        <v>41</v>
      </c>
      <c r="B77" s="8" t="s">
        <v>42</v>
      </c>
      <c r="C77" s="9" t="s">
        <v>29</v>
      </c>
    </row>
    <row r="78" spans="1:3" ht="60">
      <c r="A78" s="20"/>
      <c r="B78" s="14" t="s">
        <v>43</v>
      </c>
      <c r="C78" s="15" t="s">
        <v>29</v>
      </c>
    </row>
    <row r="79" spans="1:3" ht="60">
      <c r="A79" s="20"/>
      <c r="B79" s="16" t="s">
        <v>44</v>
      </c>
      <c r="C79" s="9" t="s">
        <v>26</v>
      </c>
    </row>
    <row r="80" spans="1:3">
      <c r="A80" s="46" t="s">
        <v>88</v>
      </c>
      <c r="B80" s="47"/>
      <c r="C80" s="48"/>
    </row>
    <row r="81" spans="1:3" ht="90">
      <c r="A81" s="7" t="s">
        <v>89</v>
      </c>
      <c r="B81" s="8" t="s">
        <v>90</v>
      </c>
      <c r="C81" s="9" t="s">
        <v>29</v>
      </c>
    </row>
    <row r="82" spans="1:3">
      <c r="A82" s="7" t="s">
        <v>91</v>
      </c>
      <c r="B82" s="11"/>
      <c r="C82" s="9"/>
    </row>
    <row r="83" spans="1:3">
      <c r="A83" s="20" t="s">
        <v>75</v>
      </c>
      <c r="B83" s="11"/>
      <c r="C83" s="9"/>
    </row>
    <row r="84" spans="1:3">
      <c r="A84" s="20" t="s">
        <v>76</v>
      </c>
      <c r="B84" s="11"/>
      <c r="C84" s="9"/>
    </row>
    <row r="85" spans="1:3">
      <c r="A85" s="20" t="s">
        <v>80</v>
      </c>
      <c r="B85" s="11"/>
      <c r="C85" s="9"/>
    </row>
    <row r="86" spans="1:3">
      <c r="A86" s="20" t="s">
        <v>81</v>
      </c>
      <c r="B86" s="11"/>
      <c r="C86" s="9"/>
    </row>
    <row r="87" spans="1:3" ht="75">
      <c r="A87" s="7" t="s">
        <v>92</v>
      </c>
      <c r="B87" s="8" t="s">
        <v>50</v>
      </c>
      <c r="C87" s="9" t="s">
        <v>29</v>
      </c>
    </row>
    <row r="88" spans="1:3" ht="75">
      <c r="A88" s="7"/>
      <c r="B88" s="8" t="s">
        <v>28</v>
      </c>
      <c r="C88" s="9" t="s">
        <v>29</v>
      </c>
    </row>
    <row r="89" spans="1:3" ht="90">
      <c r="A89" s="7"/>
      <c r="B89" s="8" t="s">
        <v>90</v>
      </c>
      <c r="C89" s="9" t="s">
        <v>29</v>
      </c>
    </row>
    <row r="90" spans="1:3" ht="60">
      <c r="A90" s="7"/>
      <c r="B90" s="8" t="s">
        <v>93</v>
      </c>
      <c r="C90" s="9" t="s">
        <v>55</v>
      </c>
    </row>
    <row r="91" spans="1:3" ht="60">
      <c r="A91" s="7"/>
      <c r="B91" s="8" t="s">
        <v>34</v>
      </c>
      <c r="C91" s="9" t="s">
        <v>24</v>
      </c>
    </row>
    <row r="92" spans="1:3" ht="105">
      <c r="A92" s="7"/>
      <c r="B92" s="8" t="s">
        <v>47</v>
      </c>
      <c r="C92" s="9" t="s">
        <v>48</v>
      </c>
    </row>
    <row r="93" spans="1:3" ht="45">
      <c r="A93" s="7"/>
      <c r="B93" s="8" t="s">
        <v>94</v>
      </c>
      <c r="C93" s="9" t="s">
        <v>95</v>
      </c>
    </row>
    <row r="94" spans="1:3" ht="30">
      <c r="A94" s="7"/>
      <c r="B94" s="8" t="s">
        <v>96</v>
      </c>
      <c r="C94" s="9" t="s">
        <v>95</v>
      </c>
    </row>
    <row r="95" spans="1:3" ht="60">
      <c r="A95" s="7"/>
      <c r="B95" s="8" t="s">
        <v>97</v>
      </c>
      <c r="C95" s="9" t="s">
        <v>57</v>
      </c>
    </row>
    <row r="96" spans="1:3" ht="30">
      <c r="A96" s="7"/>
      <c r="B96" s="8" t="s">
        <v>98</v>
      </c>
      <c r="C96" s="9" t="s">
        <v>57</v>
      </c>
    </row>
    <row r="97" spans="1:3" ht="60">
      <c r="A97" s="7"/>
      <c r="B97" s="17" t="s">
        <v>99</v>
      </c>
      <c r="C97" s="9" t="s">
        <v>100</v>
      </c>
    </row>
    <row r="98" spans="1:3" ht="120">
      <c r="A98" s="7"/>
      <c r="B98" s="17" t="s">
        <v>101</v>
      </c>
      <c r="C98" s="9" t="s">
        <v>100</v>
      </c>
    </row>
    <row r="99" spans="1:3" ht="45">
      <c r="A99" s="7"/>
      <c r="B99" s="21" t="s">
        <v>102</v>
      </c>
      <c r="C99" s="9" t="s">
        <v>103</v>
      </c>
    </row>
    <row r="100" spans="1:3">
      <c r="A100" s="7" t="s">
        <v>104</v>
      </c>
      <c r="B100" s="11"/>
      <c r="C100" s="9"/>
    </row>
    <row r="101" spans="1:3">
      <c r="A101" s="20" t="s">
        <v>82</v>
      </c>
      <c r="B101" s="11"/>
      <c r="C101" s="9"/>
    </row>
    <row r="102" spans="1:3" ht="75">
      <c r="A102" s="7" t="s">
        <v>105</v>
      </c>
      <c r="B102" s="8" t="s">
        <v>106</v>
      </c>
      <c r="C102" s="9" t="s">
        <v>31</v>
      </c>
    </row>
    <row r="103" spans="1:3" ht="60">
      <c r="A103" s="7"/>
      <c r="B103" s="22" t="s">
        <v>107</v>
      </c>
      <c r="C103" s="9" t="s">
        <v>95</v>
      </c>
    </row>
    <row r="104" spans="1:3">
      <c r="A104" s="20" t="s">
        <v>64</v>
      </c>
      <c r="B104" s="11"/>
      <c r="C104" s="9"/>
    </row>
    <row r="105" spans="1:3" ht="90">
      <c r="A105" s="20" t="s">
        <v>41</v>
      </c>
      <c r="B105" s="8" t="s">
        <v>37</v>
      </c>
      <c r="C105" s="9" t="s">
        <v>29</v>
      </c>
    </row>
    <row r="106" spans="1:3" ht="60">
      <c r="A106" s="20"/>
      <c r="B106" s="16" t="s">
        <v>32</v>
      </c>
      <c r="C106" s="9" t="s">
        <v>26</v>
      </c>
    </row>
    <row r="107" spans="1:3" ht="60">
      <c r="A107" s="20"/>
      <c r="B107" s="16" t="s">
        <v>58</v>
      </c>
      <c r="C107" s="9" t="s">
        <v>26</v>
      </c>
    </row>
    <row r="108" spans="1:3">
      <c r="A108" s="46" t="s">
        <v>108</v>
      </c>
      <c r="B108" s="47"/>
      <c r="C108" s="48"/>
    </row>
    <row r="109" spans="1:3" ht="90">
      <c r="A109" s="20" t="s">
        <v>89</v>
      </c>
      <c r="B109" s="8" t="s">
        <v>90</v>
      </c>
      <c r="C109" s="9" t="s">
        <v>29</v>
      </c>
    </row>
    <row r="110" spans="1:3">
      <c r="A110" s="20" t="s">
        <v>91</v>
      </c>
      <c r="B110" s="11"/>
      <c r="C110" s="9"/>
    </row>
    <row r="111" spans="1:3">
      <c r="A111" s="20" t="s">
        <v>74</v>
      </c>
      <c r="B111" s="11"/>
      <c r="C111" s="9"/>
    </row>
    <row r="112" spans="1:3">
      <c r="A112" s="7" t="s">
        <v>109</v>
      </c>
      <c r="B112" s="11"/>
      <c r="C112" s="9"/>
    </row>
    <row r="113" spans="1:3">
      <c r="A113" s="7" t="s">
        <v>110</v>
      </c>
      <c r="B113" s="11"/>
      <c r="C113" s="9"/>
    </row>
    <row r="114" spans="1:3">
      <c r="A114" s="7" t="s">
        <v>111</v>
      </c>
      <c r="B114" s="11"/>
      <c r="C114" s="9"/>
    </row>
    <row r="115" spans="1:3">
      <c r="A115" s="7" t="s">
        <v>112</v>
      </c>
      <c r="B115" s="11"/>
      <c r="C115" s="9"/>
    </row>
    <row r="116" spans="1:3">
      <c r="A116" s="7" t="s">
        <v>113</v>
      </c>
      <c r="B116" s="11"/>
      <c r="C116" s="9"/>
    </row>
    <row r="117" spans="1:3">
      <c r="A117" s="20" t="s">
        <v>104</v>
      </c>
      <c r="B117" s="11"/>
      <c r="C117" s="9"/>
    </row>
    <row r="118" spans="1:3">
      <c r="A118" s="7" t="s">
        <v>114</v>
      </c>
      <c r="B118" s="11"/>
      <c r="C118" s="9"/>
    </row>
    <row r="119" spans="1:3">
      <c r="A119" s="20" t="s">
        <v>82</v>
      </c>
      <c r="B119" s="11"/>
      <c r="C119" s="9"/>
    </row>
    <row r="120" spans="1:3">
      <c r="A120" s="7" t="s">
        <v>115</v>
      </c>
      <c r="B120" s="11"/>
      <c r="C120" s="9"/>
    </row>
    <row r="121" spans="1:3">
      <c r="A121" s="7" t="s">
        <v>116</v>
      </c>
      <c r="B121" s="11"/>
      <c r="C121" s="9"/>
    </row>
    <row r="122" spans="1:3">
      <c r="A122" s="7" t="s">
        <v>117</v>
      </c>
      <c r="B122" s="11"/>
      <c r="C122" s="9"/>
    </row>
    <row r="123" spans="1:3">
      <c r="A123" s="7" t="s">
        <v>118</v>
      </c>
      <c r="B123" s="11"/>
      <c r="C123" s="9"/>
    </row>
    <row r="124" spans="1:3">
      <c r="A124" s="7" t="s">
        <v>119</v>
      </c>
      <c r="B124" s="11"/>
      <c r="C124" s="9"/>
    </row>
    <row r="125" spans="1:3">
      <c r="A125" s="7" t="s">
        <v>120</v>
      </c>
      <c r="B125" s="11"/>
      <c r="C125" s="9"/>
    </row>
    <row r="126" spans="1:3">
      <c r="A126" s="7" t="s">
        <v>121</v>
      </c>
      <c r="B126" s="11"/>
      <c r="C126" s="9"/>
    </row>
    <row r="127" spans="1:3">
      <c r="A127" s="7" t="s">
        <v>122</v>
      </c>
      <c r="B127" s="11"/>
      <c r="C127" s="9"/>
    </row>
    <row r="128" spans="1:3">
      <c r="A128" s="7" t="s">
        <v>123</v>
      </c>
      <c r="B128" s="11"/>
      <c r="C128" s="9"/>
    </row>
    <row r="129" spans="1:3">
      <c r="A129" s="7" t="s">
        <v>124</v>
      </c>
      <c r="B129" s="11"/>
      <c r="C129" s="9"/>
    </row>
    <row r="130" spans="1:3">
      <c r="A130" s="20" t="s">
        <v>85</v>
      </c>
      <c r="B130" s="11"/>
      <c r="C130" s="9"/>
    </row>
    <row r="131" spans="1:3" ht="75">
      <c r="A131" s="20" t="s">
        <v>105</v>
      </c>
      <c r="B131" s="8" t="s">
        <v>106</v>
      </c>
      <c r="C131" s="9" t="s">
        <v>31</v>
      </c>
    </row>
    <row r="132" spans="1:3" ht="60">
      <c r="A132" s="20"/>
      <c r="B132" s="22" t="s">
        <v>107</v>
      </c>
      <c r="C132" s="9" t="s">
        <v>95</v>
      </c>
    </row>
    <row r="133" spans="1:3">
      <c r="A133" s="7" t="s">
        <v>125</v>
      </c>
      <c r="B133" s="11"/>
      <c r="C133" s="9"/>
    </row>
    <row r="134" spans="1:3">
      <c r="A134" s="7" t="s">
        <v>126</v>
      </c>
      <c r="B134" s="11"/>
      <c r="C134" s="9"/>
    </row>
    <row r="135" spans="1:3">
      <c r="A135" s="7" t="s">
        <v>127</v>
      </c>
      <c r="B135" s="11"/>
      <c r="C135" s="9"/>
    </row>
    <row r="136" spans="1:3">
      <c r="A136" s="7" t="s">
        <v>128</v>
      </c>
      <c r="B136" s="11"/>
      <c r="C136" s="9"/>
    </row>
    <row r="137" spans="1:3">
      <c r="A137" s="7" t="s">
        <v>129</v>
      </c>
      <c r="B137" s="11"/>
      <c r="C137" s="9"/>
    </row>
    <row r="138" spans="1:3">
      <c r="A138" s="7" t="s">
        <v>130</v>
      </c>
      <c r="B138" s="11"/>
      <c r="C138" s="9"/>
    </row>
    <row r="139" spans="1:3">
      <c r="A139" s="20" t="s">
        <v>87</v>
      </c>
      <c r="B139" s="11"/>
      <c r="C139" s="9"/>
    </row>
    <row r="140" spans="1:3">
      <c r="A140" s="7" t="s">
        <v>131</v>
      </c>
      <c r="B140" s="11"/>
      <c r="C140" s="9"/>
    </row>
    <row r="141" spans="1:3">
      <c r="A141" s="7" t="s">
        <v>132</v>
      </c>
      <c r="B141" s="11"/>
      <c r="C141" s="9"/>
    </row>
    <row r="142" spans="1:3">
      <c r="A142" s="7" t="s">
        <v>133</v>
      </c>
      <c r="B142" s="11"/>
      <c r="C142" s="9"/>
    </row>
    <row r="143" spans="1:3" ht="60">
      <c r="A143" s="20" t="s">
        <v>41</v>
      </c>
      <c r="B143" s="8" t="s">
        <v>42</v>
      </c>
      <c r="C143" s="9" t="s">
        <v>29</v>
      </c>
    </row>
    <row r="144" spans="1:3" ht="90">
      <c r="A144" s="20"/>
      <c r="B144" s="8" t="s">
        <v>37</v>
      </c>
      <c r="C144" s="9" t="s">
        <v>29</v>
      </c>
    </row>
    <row r="145" spans="1:3" ht="60">
      <c r="A145" s="20"/>
      <c r="B145" s="14" t="s">
        <v>43</v>
      </c>
      <c r="C145" s="15" t="s">
        <v>29</v>
      </c>
    </row>
    <row r="146" spans="1:3" ht="60">
      <c r="A146" s="20"/>
      <c r="B146" s="16" t="s">
        <v>44</v>
      </c>
      <c r="C146" s="9" t="s">
        <v>26</v>
      </c>
    </row>
    <row r="147" spans="1:3" ht="60">
      <c r="A147" s="20"/>
      <c r="B147" s="16" t="s">
        <v>32</v>
      </c>
      <c r="C147" s="9" t="s">
        <v>26</v>
      </c>
    </row>
    <row r="148" spans="1:3" ht="60">
      <c r="A148" s="20"/>
      <c r="B148" s="16" t="s">
        <v>58</v>
      </c>
      <c r="C148" s="9" t="s">
        <v>26</v>
      </c>
    </row>
    <row r="149" spans="1:3">
      <c r="A149" s="7" t="s">
        <v>134</v>
      </c>
      <c r="B149" s="11"/>
      <c r="C149" s="9"/>
    </row>
    <row r="150" spans="1:3">
      <c r="A150" s="7" t="s">
        <v>135</v>
      </c>
      <c r="B150" s="11"/>
      <c r="C150" s="9"/>
    </row>
    <row r="151" spans="1:3">
      <c r="A151" s="7" t="s">
        <v>136</v>
      </c>
      <c r="B151" s="11"/>
      <c r="C151" s="9"/>
    </row>
    <row r="152" spans="1:3">
      <c r="A152" s="46" t="s">
        <v>137</v>
      </c>
      <c r="B152" s="47"/>
      <c r="C152" s="48"/>
    </row>
    <row r="153" spans="1:3">
      <c r="A153" s="7" t="s">
        <v>138</v>
      </c>
      <c r="B153" s="11"/>
      <c r="C153" s="9"/>
    </row>
    <row r="154" spans="1:3" ht="45">
      <c r="A154" s="7" t="s">
        <v>139</v>
      </c>
      <c r="B154" s="8" t="s">
        <v>140</v>
      </c>
      <c r="C154" s="9" t="s">
        <v>26</v>
      </c>
    </row>
    <row r="155" spans="1:3" ht="45">
      <c r="A155" s="7"/>
      <c r="B155" s="8" t="s">
        <v>141</v>
      </c>
      <c r="C155" s="9" t="s">
        <v>26</v>
      </c>
    </row>
    <row r="156" spans="1:3" ht="60">
      <c r="A156" s="7" t="s">
        <v>142</v>
      </c>
      <c r="B156" s="8" t="s">
        <v>143</v>
      </c>
      <c r="C156" s="9" t="s">
        <v>29</v>
      </c>
    </row>
    <row r="157" spans="1:3" ht="105">
      <c r="A157" s="7"/>
      <c r="B157" s="22" t="s">
        <v>144</v>
      </c>
      <c r="C157" s="9" t="s">
        <v>29</v>
      </c>
    </row>
    <row r="158" spans="1:3">
      <c r="A158" s="7" t="s">
        <v>145</v>
      </c>
      <c r="B158" s="11"/>
      <c r="C158" s="9"/>
    </row>
    <row r="159" spans="1:3">
      <c r="A159" s="7" t="s">
        <v>146</v>
      </c>
      <c r="B159" s="11"/>
      <c r="C159" s="9"/>
    </row>
    <row r="160" spans="1:3" ht="45">
      <c r="A160" s="7" t="s">
        <v>147</v>
      </c>
      <c r="B160" s="8" t="s">
        <v>148</v>
      </c>
      <c r="C160" s="9" t="s">
        <v>55</v>
      </c>
    </row>
    <row r="161" spans="1:3" ht="75">
      <c r="A161" s="7"/>
      <c r="B161" s="8" t="s">
        <v>149</v>
      </c>
      <c r="C161" s="9" t="s">
        <v>55</v>
      </c>
    </row>
    <row r="162" spans="1:3" ht="75">
      <c r="A162" s="7"/>
      <c r="B162" s="8" t="s">
        <v>150</v>
      </c>
      <c r="C162" s="9" t="s">
        <v>55</v>
      </c>
    </row>
    <row r="163" spans="1:3" ht="75">
      <c r="A163" s="7"/>
      <c r="B163" s="8" t="s">
        <v>151</v>
      </c>
      <c r="C163" s="9" t="s">
        <v>55</v>
      </c>
    </row>
    <row r="164" spans="1:3" ht="75">
      <c r="A164" s="7"/>
      <c r="B164" s="8" t="s">
        <v>152</v>
      </c>
      <c r="C164" s="9" t="s">
        <v>55</v>
      </c>
    </row>
    <row r="165" spans="1:3" ht="75">
      <c r="A165" s="7"/>
      <c r="B165" s="8" t="s">
        <v>153</v>
      </c>
      <c r="C165" s="9" t="s">
        <v>55</v>
      </c>
    </row>
    <row r="166" spans="1:3" ht="75">
      <c r="A166" s="7"/>
      <c r="B166" s="8" t="s">
        <v>154</v>
      </c>
      <c r="C166" s="9" t="s">
        <v>55</v>
      </c>
    </row>
    <row r="167" spans="1:3" ht="45">
      <c r="A167" s="7"/>
      <c r="B167" s="8" t="s">
        <v>155</v>
      </c>
      <c r="C167" s="9" t="s">
        <v>55</v>
      </c>
    </row>
    <row r="168" spans="1:3" ht="45">
      <c r="A168" s="7"/>
      <c r="B168" s="8" t="s">
        <v>156</v>
      </c>
      <c r="C168" s="9" t="s">
        <v>55</v>
      </c>
    </row>
    <row r="169" spans="1:3" ht="150">
      <c r="A169" s="7"/>
      <c r="B169" s="8" t="s">
        <v>157</v>
      </c>
      <c r="C169" s="9" t="s">
        <v>158</v>
      </c>
    </row>
    <row r="170" spans="1:3" ht="90">
      <c r="A170" s="7"/>
      <c r="B170" s="8" t="s">
        <v>159</v>
      </c>
      <c r="C170" s="9" t="s">
        <v>158</v>
      </c>
    </row>
    <row r="171" spans="1:3" ht="105">
      <c r="A171" s="7"/>
      <c r="B171" s="8" t="s">
        <v>160</v>
      </c>
      <c r="C171" s="9" t="s">
        <v>26</v>
      </c>
    </row>
    <row r="172" spans="1:3" ht="105">
      <c r="A172" s="7"/>
      <c r="B172" s="8" t="s">
        <v>161</v>
      </c>
      <c r="C172" s="9" t="s">
        <v>26</v>
      </c>
    </row>
    <row r="173" spans="1:3" ht="75">
      <c r="A173" s="7"/>
      <c r="B173" s="8" t="s">
        <v>162</v>
      </c>
      <c r="C173" s="9" t="s">
        <v>26</v>
      </c>
    </row>
    <row r="174" spans="1:3" ht="60">
      <c r="A174" s="7"/>
      <c r="B174" s="8" t="s">
        <v>163</v>
      </c>
      <c r="C174" s="9" t="s">
        <v>26</v>
      </c>
    </row>
    <row r="175" spans="1:3" ht="60">
      <c r="A175" s="7"/>
      <c r="B175" s="8" t="s">
        <v>164</v>
      </c>
      <c r="C175" s="9" t="s">
        <v>26</v>
      </c>
    </row>
    <row r="176" spans="1:3" ht="60">
      <c r="A176" s="7"/>
      <c r="B176" s="8" t="s">
        <v>165</v>
      </c>
      <c r="C176" s="9" t="s">
        <v>26</v>
      </c>
    </row>
    <row r="177" spans="1:3">
      <c r="A177" s="20" t="s">
        <v>119</v>
      </c>
      <c r="B177" s="11"/>
      <c r="C177" s="9"/>
    </row>
    <row r="178" spans="1:3" ht="90">
      <c r="A178" s="7" t="s">
        <v>166</v>
      </c>
      <c r="B178" s="8" t="s">
        <v>167</v>
      </c>
      <c r="C178" s="9" t="s">
        <v>55</v>
      </c>
    </row>
    <row r="179" spans="1:3" ht="105">
      <c r="A179" s="7"/>
      <c r="B179" s="8" t="s">
        <v>168</v>
      </c>
      <c r="C179" s="9" t="s">
        <v>55</v>
      </c>
    </row>
    <row r="180" spans="1:3" ht="135">
      <c r="A180" s="7"/>
      <c r="B180" s="8" t="s">
        <v>169</v>
      </c>
      <c r="C180" s="9" t="s">
        <v>55</v>
      </c>
    </row>
    <row r="181" spans="1:3" ht="90">
      <c r="A181" s="7"/>
      <c r="B181" s="8" t="s">
        <v>170</v>
      </c>
      <c r="C181" s="9" t="s">
        <v>55</v>
      </c>
    </row>
    <row r="182" spans="1:3" ht="75">
      <c r="A182" s="7"/>
      <c r="B182" s="8" t="s">
        <v>171</v>
      </c>
      <c r="C182" s="9" t="s">
        <v>55</v>
      </c>
    </row>
    <row r="183" spans="1:3" ht="75">
      <c r="A183" s="7"/>
      <c r="B183" s="8" t="s">
        <v>172</v>
      </c>
      <c r="C183" s="9" t="s">
        <v>55</v>
      </c>
    </row>
    <row r="184" spans="1:3" ht="135">
      <c r="A184" s="7"/>
      <c r="B184" s="8" t="s">
        <v>173</v>
      </c>
      <c r="C184" s="9" t="s">
        <v>55</v>
      </c>
    </row>
    <row r="185" spans="1:3" ht="90">
      <c r="A185" s="7"/>
      <c r="B185" s="8" t="s">
        <v>174</v>
      </c>
      <c r="C185" s="9" t="s">
        <v>55</v>
      </c>
    </row>
    <row r="186" spans="1:3" ht="150">
      <c r="A186" s="7"/>
      <c r="B186" s="8" t="s">
        <v>157</v>
      </c>
      <c r="C186" s="9" t="s">
        <v>158</v>
      </c>
    </row>
    <row r="187" spans="1:3" ht="45">
      <c r="A187" s="7"/>
      <c r="B187" s="8" t="s">
        <v>140</v>
      </c>
      <c r="C187" s="9" t="s">
        <v>26</v>
      </c>
    </row>
    <row r="188" spans="1:3" ht="45">
      <c r="A188" s="7"/>
      <c r="B188" s="8" t="s">
        <v>141</v>
      </c>
      <c r="C188" s="9" t="s">
        <v>26</v>
      </c>
    </row>
    <row r="189" spans="1:3" ht="45">
      <c r="A189" s="7" t="s">
        <v>175</v>
      </c>
      <c r="B189" s="8" t="s">
        <v>176</v>
      </c>
      <c r="C189" s="9" t="s">
        <v>29</v>
      </c>
    </row>
    <row r="190" spans="1:3" ht="60">
      <c r="A190" s="7"/>
      <c r="B190" s="8" t="s">
        <v>143</v>
      </c>
      <c r="C190" s="9" t="s">
        <v>29</v>
      </c>
    </row>
    <row r="191" spans="1:3" ht="45">
      <c r="A191" s="7"/>
      <c r="B191" s="8" t="s">
        <v>177</v>
      </c>
      <c r="C191" s="9" t="s">
        <v>57</v>
      </c>
    </row>
    <row r="192" spans="1:3" ht="45">
      <c r="A192" s="7"/>
      <c r="B192" s="8" t="s">
        <v>140</v>
      </c>
      <c r="C192" s="9" t="s">
        <v>26</v>
      </c>
    </row>
    <row r="193" spans="1:3" ht="45">
      <c r="A193" s="7"/>
      <c r="B193" s="8" t="s">
        <v>141</v>
      </c>
      <c r="C193" s="9" t="s">
        <v>26</v>
      </c>
    </row>
    <row r="194" spans="1:3" ht="150">
      <c r="A194" s="7" t="s">
        <v>178</v>
      </c>
      <c r="B194" s="8" t="s">
        <v>157</v>
      </c>
      <c r="C194" s="9" t="s">
        <v>158</v>
      </c>
    </row>
    <row r="195" spans="1:3" ht="90">
      <c r="A195" s="7"/>
      <c r="B195" s="8" t="s">
        <v>159</v>
      </c>
      <c r="C195" s="9" t="s">
        <v>158</v>
      </c>
    </row>
    <row r="196" spans="1:3" ht="60">
      <c r="A196" s="7" t="s">
        <v>179</v>
      </c>
      <c r="B196" s="8" t="s">
        <v>143</v>
      </c>
      <c r="C196" s="9" t="s">
        <v>29</v>
      </c>
    </row>
    <row r="197" spans="1:3" ht="150">
      <c r="A197" s="7"/>
      <c r="B197" s="8" t="s">
        <v>157</v>
      </c>
      <c r="C197" s="9" t="s">
        <v>158</v>
      </c>
    </row>
    <row r="198" spans="1:3" ht="90">
      <c r="A198" s="7"/>
      <c r="B198" s="8" t="s">
        <v>159</v>
      </c>
      <c r="C198" s="9" t="s">
        <v>158</v>
      </c>
    </row>
    <row r="199" spans="1:3" ht="45">
      <c r="A199" s="7"/>
      <c r="B199" s="8" t="s">
        <v>180</v>
      </c>
      <c r="C199" s="9" t="s">
        <v>57</v>
      </c>
    </row>
    <row r="200" spans="1:3" ht="45">
      <c r="A200" s="7"/>
      <c r="B200" s="8" t="s">
        <v>140</v>
      </c>
      <c r="C200" s="9" t="s">
        <v>26</v>
      </c>
    </row>
    <row r="201" spans="1:3" ht="45">
      <c r="A201" s="7"/>
      <c r="B201" s="8" t="s">
        <v>141</v>
      </c>
      <c r="C201" s="9" t="s">
        <v>26</v>
      </c>
    </row>
    <row r="202" spans="1:3">
      <c r="A202" s="7" t="s">
        <v>181</v>
      </c>
      <c r="B202" s="11"/>
      <c r="C202" s="9"/>
    </row>
    <row r="203" spans="1:3">
      <c r="A203" s="7" t="s">
        <v>182</v>
      </c>
      <c r="B203" s="11"/>
      <c r="C203" s="9"/>
    </row>
    <row r="204" spans="1:3">
      <c r="A204" s="7" t="s">
        <v>183</v>
      </c>
      <c r="B204" s="11"/>
      <c r="C204" s="9"/>
    </row>
    <row r="205" spans="1:3">
      <c r="A205" s="46" t="s">
        <v>184</v>
      </c>
      <c r="B205" s="47"/>
      <c r="C205" s="48"/>
    </row>
    <row r="206" spans="1:3">
      <c r="A206" s="7" t="s">
        <v>185</v>
      </c>
      <c r="B206" s="11"/>
      <c r="C206" s="9"/>
    </row>
    <row r="207" spans="1:3">
      <c r="A207" s="7" t="s">
        <v>186</v>
      </c>
      <c r="B207" s="11"/>
      <c r="C207" s="9"/>
    </row>
    <row r="208" spans="1:3">
      <c r="A208" s="7" t="s">
        <v>187</v>
      </c>
      <c r="B208" s="11"/>
      <c r="C208" s="9"/>
    </row>
    <row r="209" spans="1:3">
      <c r="A209" s="7" t="s">
        <v>188</v>
      </c>
      <c r="B209" s="11"/>
      <c r="C209" s="9"/>
    </row>
    <row r="210" spans="1:3">
      <c r="A210" s="7" t="s">
        <v>189</v>
      </c>
      <c r="B210" s="11"/>
      <c r="C210" s="9"/>
    </row>
    <row r="211" spans="1:3">
      <c r="A211" s="7" t="s">
        <v>190</v>
      </c>
      <c r="B211" s="11"/>
      <c r="C211" s="9"/>
    </row>
    <row r="212" spans="1:3">
      <c r="A212" s="7" t="s">
        <v>191</v>
      </c>
      <c r="B212" s="11"/>
      <c r="C212" s="9"/>
    </row>
    <row r="213" spans="1:3" ht="75">
      <c r="A213" s="7" t="s">
        <v>192</v>
      </c>
      <c r="B213" s="8" t="s">
        <v>193</v>
      </c>
      <c r="C213" s="9" t="s">
        <v>194</v>
      </c>
    </row>
    <row r="214" spans="1:3">
      <c r="A214" s="7" t="s">
        <v>195</v>
      </c>
      <c r="B214" s="11"/>
      <c r="C214" s="9"/>
    </row>
    <row r="215" spans="1:3">
      <c r="A215" s="7" t="s">
        <v>196</v>
      </c>
      <c r="B215" s="11"/>
      <c r="C215" s="9"/>
    </row>
    <row r="216" spans="1:3" ht="90">
      <c r="A216" s="20" t="s">
        <v>166</v>
      </c>
      <c r="B216" s="8" t="s">
        <v>167</v>
      </c>
      <c r="C216" s="9" t="s">
        <v>55</v>
      </c>
    </row>
    <row r="217" spans="1:3" ht="105">
      <c r="A217" s="20"/>
      <c r="B217" s="8" t="s">
        <v>168</v>
      </c>
      <c r="C217" s="9" t="s">
        <v>55</v>
      </c>
    </row>
    <row r="218" spans="1:3" ht="135">
      <c r="A218" s="20"/>
      <c r="B218" s="8" t="s">
        <v>169</v>
      </c>
      <c r="C218" s="9" t="s">
        <v>55</v>
      </c>
    </row>
    <row r="219" spans="1:3" ht="90">
      <c r="A219" s="20"/>
      <c r="B219" s="8" t="s">
        <v>170</v>
      </c>
      <c r="C219" s="9" t="s">
        <v>55</v>
      </c>
    </row>
    <row r="220" spans="1:3" ht="75">
      <c r="A220" s="20"/>
      <c r="B220" s="8" t="s">
        <v>171</v>
      </c>
      <c r="C220" s="9" t="s">
        <v>55</v>
      </c>
    </row>
    <row r="221" spans="1:3" ht="75">
      <c r="A221" s="20"/>
      <c r="B221" s="8" t="s">
        <v>172</v>
      </c>
      <c r="C221" s="9" t="s">
        <v>55</v>
      </c>
    </row>
    <row r="222" spans="1:3" ht="135">
      <c r="A222" s="20"/>
      <c r="B222" s="8" t="s">
        <v>173</v>
      </c>
      <c r="C222" s="9" t="s">
        <v>55</v>
      </c>
    </row>
    <row r="223" spans="1:3" ht="90">
      <c r="A223" s="20"/>
      <c r="B223" s="8" t="s">
        <v>174</v>
      </c>
      <c r="C223" s="9" t="s">
        <v>55</v>
      </c>
    </row>
    <row r="224" spans="1:3" ht="150">
      <c r="A224" s="20"/>
      <c r="B224" s="8" t="s">
        <v>157</v>
      </c>
      <c r="C224" s="9" t="s">
        <v>158</v>
      </c>
    </row>
    <row r="225" spans="1:3" ht="45">
      <c r="A225" s="20"/>
      <c r="B225" s="8" t="s">
        <v>140</v>
      </c>
      <c r="C225" s="9" t="s">
        <v>26</v>
      </c>
    </row>
    <row r="226" spans="1:3" ht="45">
      <c r="A226" s="20"/>
      <c r="B226" s="8" t="s">
        <v>141</v>
      </c>
      <c r="C226" s="9" t="s">
        <v>26</v>
      </c>
    </row>
    <row r="227" spans="1:3" ht="90">
      <c r="A227" s="7" t="s">
        <v>197</v>
      </c>
      <c r="B227" s="8" t="s">
        <v>167</v>
      </c>
      <c r="C227" s="9" t="s">
        <v>55</v>
      </c>
    </row>
    <row r="228" spans="1:3" ht="105">
      <c r="A228" s="7"/>
      <c r="B228" s="8" t="s">
        <v>168</v>
      </c>
      <c r="C228" s="9" t="s">
        <v>55</v>
      </c>
    </row>
    <row r="229" spans="1:3" ht="90">
      <c r="A229" s="7"/>
      <c r="B229" s="8" t="s">
        <v>198</v>
      </c>
      <c r="C229" s="9" t="s">
        <v>55</v>
      </c>
    </row>
    <row r="230" spans="1:3" ht="90">
      <c r="A230" s="7"/>
      <c r="B230" s="8" t="s">
        <v>199</v>
      </c>
      <c r="C230" s="9" t="s">
        <v>55</v>
      </c>
    </row>
    <row r="231" spans="1:3" ht="30">
      <c r="A231" s="7"/>
      <c r="B231" s="8" t="s">
        <v>200</v>
      </c>
      <c r="C231" s="9" t="s">
        <v>55</v>
      </c>
    </row>
    <row r="232" spans="1:3">
      <c r="A232" s="7" t="s">
        <v>201</v>
      </c>
      <c r="B232" s="11"/>
      <c r="C232" s="9"/>
    </row>
    <row r="233" spans="1:3">
      <c r="A233" s="7" t="s">
        <v>202</v>
      </c>
      <c r="B233" s="11"/>
      <c r="C233" s="9"/>
    </row>
    <row r="234" spans="1:3">
      <c r="A234" s="7" t="s">
        <v>203</v>
      </c>
      <c r="B234" s="11"/>
      <c r="C234" s="9"/>
    </row>
    <row r="235" spans="1:3">
      <c r="A235" s="7" t="s">
        <v>204</v>
      </c>
      <c r="B235" s="11"/>
      <c r="C235" s="9"/>
    </row>
    <row r="236" spans="1:3">
      <c r="A236" s="7" t="s">
        <v>205</v>
      </c>
      <c r="B236" s="11"/>
      <c r="C236" s="9"/>
    </row>
    <row r="237" spans="1:3">
      <c r="A237" s="7" t="s">
        <v>206</v>
      </c>
      <c r="B237" s="11"/>
      <c r="C237" s="9"/>
    </row>
    <row r="238" spans="1:3">
      <c r="A238" s="7" t="s">
        <v>207</v>
      </c>
      <c r="B238" s="11"/>
      <c r="C238" s="9"/>
    </row>
    <row r="239" spans="1:3">
      <c r="A239" s="7" t="s">
        <v>208</v>
      </c>
      <c r="B239" s="11"/>
      <c r="C239" s="9"/>
    </row>
    <row r="240" spans="1:3">
      <c r="A240" s="7" t="s">
        <v>209</v>
      </c>
      <c r="B240" s="11"/>
      <c r="C240" s="9"/>
    </row>
    <row r="241" spans="1:3">
      <c r="A241" s="7" t="s">
        <v>210</v>
      </c>
      <c r="B241" s="11"/>
      <c r="C241" s="9"/>
    </row>
    <row r="242" spans="1:3">
      <c r="A242" s="7" t="s">
        <v>211</v>
      </c>
      <c r="B242" s="11"/>
      <c r="C242" s="9"/>
    </row>
    <row r="243" spans="1:3">
      <c r="A243" s="7" t="s">
        <v>212</v>
      </c>
      <c r="B243" s="11"/>
      <c r="C243" s="9"/>
    </row>
    <row r="244" spans="1:3">
      <c r="A244" s="20" t="s">
        <v>134</v>
      </c>
      <c r="B244" s="11"/>
      <c r="C244" s="9"/>
    </row>
    <row r="245" spans="1:3">
      <c r="A245" s="46" t="s">
        <v>213</v>
      </c>
      <c r="B245" s="47"/>
      <c r="C245" s="48"/>
    </row>
    <row r="246" spans="1:3" ht="60">
      <c r="A246" s="7" t="s">
        <v>214</v>
      </c>
      <c r="B246" s="8" t="s">
        <v>215</v>
      </c>
      <c r="C246" s="9" t="s">
        <v>95</v>
      </c>
    </row>
    <row r="247" spans="1:3">
      <c r="A247" s="7" t="s">
        <v>216</v>
      </c>
      <c r="B247" s="11"/>
      <c r="C247" s="9"/>
    </row>
    <row r="248" spans="1:3">
      <c r="A248" s="7" t="s">
        <v>217</v>
      </c>
      <c r="B248" s="11"/>
      <c r="C248" s="9"/>
    </row>
    <row r="249" spans="1:3" ht="75">
      <c r="A249" s="7" t="s">
        <v>218</v>
      </c>
      <c r="B249" s="8" t="s">
        <v>30</v>
      </c>
      <c r="C249" s="9" t="s">
        <v>31</v>
      </c>
    </row>
    <row r="250" spans="1:3" ht="75">
      <c r="A250" s="7" t="s">
        <v>219</v>
      </c>
      <c r="B250" s="8" t="s">
        <v>30</v>
      </c>
      <c r="C250" s="9" t="s">
        <v>31</v>
      </c>
    </row>
    <row r="251" spans="1:3" ht="75">
      <c r="A251" s="7"/>
      <c r="B251" s="8" t="s">
        <v>220</v>
      </c>
      <c r="C251" s="9" t="s">
        <v>158</v>
      </c>
    </row>
    <row r="252" spans="1:3" ht="60">
      <c r="A252" s="7"/>
      <c r="B252" s="8" t="s">
        <v>215</v>
      </c>
      <c r="C252" s="9" t="s">
        <v>95</v>
      </c>
    </row>
    <row r="253" spans="1:3">
      <c r="A253" s="20" t="s">
        <v>38</v>
      </c>
      <c r="B253" s="11"/>
      <c r="C253" s="9"/>
    </row>
    <row r="254" spans="1:3">
      <c r="A254" s="20" t="s">
        <v>67</v>
      </c>
      <c r="B254" s="11"/>
      <c r="C254" s="9"/>
    </row>
    <row r="255" spans="1:3">
      <c r="A255" s="7" t="s">
        <v>221</v>
      </c>
      <c r="B255" s="11"/>
      <c r="C255" s="9"/>
    </row>
    <row r="256" spans="1:3">
      <c r="A256" s="20" t="s">
        <v>133</v>
      </c>
      <c r="B256" s="11"/>
      <c r="C256" s="9"/>
    </row>
    <row r="257" spans="1:3">
      <c r="A257" s="46" t="s">
        <v>222</v>
      </c>
      <c r="B257" s="47"/>
      <c r="C257" s="48"/>
    </row>
    <row r="258" spans="1:3">
      <c r="A258" s="7" t="s">
        <v>223</v>
      </c>
      <c r="B258" s="11"/>
      <c r="C258" s="9"/>
    </row>
    <row r="259" spans="1:3">
      <c r="A259" s="7" t="s">
        <v>224</v>
      </c>
      <c r="B259" s="11"/>
      <c r="C259" s="9"/>
    </row>
    <row r="260" spans="1:3">
      <c r="A260" s="7" t="s">
        <v>225</v>
      </c>
      <c r="B260" s="11"/>
      <c r="C260" s="9"/>
    </row>
    <row r="261" spans="1:3">
      <c r="A261" s="7" t="s">
        <v>226</v>
      </c>
      <c r="B261" s="11"/>
      <c r="C261" s="9"/>
    </row>
    <row r="262" spans="1:3">
      <c r="A262" s="7" t="s">
        <v>227</v>
      </c>
      <c r="B262" s="11"/>
      <c r="C262" s="9"/>
    </row>
    <row r="263" spans="1:3">
      <c r="A263" s="7" t="s">
        <v>228</v>
      </c>
      <c r="B263" s="11"/>
      <c r="C263" s="9"/>
    </row>
    <row r="264" spans="1:3">
      <c r="A264" s="7" t="s">
        <v>229</v>
      </c>
      <c r="B264" s="11"/>
      <c r="C264" s="9"/>
    </row>
    <row r="265" spans="1:3" ht="45">
      <c r="A265" s="7" t="s">
        <v>230</v>
      </c>
      <c r="B265" s="8" t="s">
        <v>176</v>
      </c>
      <c r="C265" s="9" t="s">
        <v>29</v>
      </c>
    </row>
    <row r="266" spans="1:3" ht="45">
      <c r="A266" s="7"/>
      <c r="B266" s="8" t="s">
        <v>231</v>
      </c>
      <c r="C266" s="9" t="s">
        <v>29</v>
      </c>
    </row>
    <row r="267" spans="1:3" ht="45">
      <c r="A267" s="7"/>
      <c r="B267" s="8" t="s">
        <v>232</v>
      </c>
      <c r="C267" s="9" t="s">
        <v>29</v>
      </c>
    </row>
    <row r="268" spans="1:3" ht="60">
      <c r="A268" s="7"/>
      <c r="B268" s="8" t="s">
        <v>233</v>
      </c>
      <c r="C268" s="9" t="s">
        <v>29</v>
      </c>
    </row>
    <row r="269" spans="1:3" ht="30">
      <c r="A269" s="7"/>
      <c r="B269" s="8" t="s">
        <v>234</v>
      </c>
      <c r="C269" s="9" t="s">
        <v>29</v>
      </c>
    </row>
    <row r="270" spans="1:3" ht="45">
      <c r="A270" s="7"/>
      <c r="B270" s="8" t="s">
        <v>235</v>
      </c>
      <c r="C270" s="9" t="s">
        <v>31</v>
      </c>
    </row>
    <row r="271" spans="1:3" ht="45">
      <c r="A271" s="7"/>
      <c r="B271" s="8" t="s">
        <v>236</v>
      </c>
      <c r="C271" s="9" t="s">
        <v>26</v>
      </c>
    </row>
    <row r="272" spans="1:3" ht="45">
      <c r="A272" s="7"/>
      <c r="B272" s="8" t="s">
        <v>237</v>
      </c>
      <c r="C272" s="9" t="s">
        <v>26</v>
      </c>
    </row>
    <row r="273" spans="1:3" ht="60">
      <c r="A273" s="7"/>
      <c r="B273" s="8" t="s">
        <v>238</v>
      </c>
      <c r="C273" s="9" t="s">
        <v>239</v>
      </c>
    </row>
    <row r="274" spans="1:3" ht="45">
      <c r="A274" s="7" t="s">
        <v>240</v>
      </c>
      <c r="B274" s="8" t="s">
        <v>241</v>
      </c>
      <c r="C274" s="9" t="s">
        <v>29</v>
      </c>
    </row>
    <row r="275" spans="1:3" ht="60">
      <c r="A275" s="7"/>
      <c r="B275" s="8" t="s">
        <v>242</v>
      </c>
      <c r="C275" s="9" t="s">
        <v>29</v>
      </c>
    </row>
    <row r="276" spans="1:3" ht="90">
      <c r="A276" s="7"/>
      <c r="B276" s="8" t="s">
        <v>243</v>
      </c>
      <c r="C276" s="9" t="s">
        <v>29</v>
      </c>
    </row>
    <row r="277" spans="1:3" ht="105">
      <c r="A277" s="7"/>
      <c r="B277" s="8" t="s">
        <v>244</v>
      </c>
      <c r="C277" s="9" t="s">
        <v>29</v>
      </c>
    </row>
    <row r="278" spans="1:3" ht="45">
      <c r="A278" s="7"/>
      <c r="B278" s="8" t="s">
        <v>245</v>
      </c>
      <c r="C278" s="9" t="s">
        <v>29</v>
      </c>
    </row>
    <row r="279" spans="1:3" ht="90">
      <c r="A279" s="7"/>
      <c r="B279" s="8" t="s">
        <v>246</v>
      </c>
      <c r="C279" s="9" t="s">
        <v>55</v>
      </c>
    </row>
    <row r="280" spans="1:3" ht="75">
      <c r="A280" s="7"/>
      <c r="B280" s="17" t="s">
        <v>247</v>
      </c>
      <c r="C280" s="9" t="s">
        <v>100</v>
      </c>
    </row>
    <row r="281" spans="1:3">
      <c r="A281" s="7" t="s">
        <v>248</v>
      </c>
      <c r="B281" s="11"/>
      <c r="C281" s="9"/>
    </row>
    <row r="282" spans="1:3">
      <c r="A282" s="7" t="s">
        <v>249</v>
      </c>
      <c r="B282" s="11"/>
      <c r="C282" s="9"/>
    </row>
    <row r="283" spans="1:3">
      <c r="A283" s="7" t="s">
        <v>250</v>
      </c>
      <c r="B283" s="11"/>
      <c r="C283" s="9"/>
    </row>
    <row r="284" spans="1:3">
      <c r="A284" s="20" t="s">
        <v>146</v>
      </c>
      <c r="B284" s="11"/>
      <c r="C284" s="9"/>
    </row>
    <row r="285" spans="1:3">
      <c r="A285" s="7" t="s">
        <v>251</v>
      </c>
      <c r="B285" s="11"/>
      <c r="C285" s="9"/>
    </row>
    <row r="286" spans="1:3" ht="45">
      <c r="A286" s="20" t="s">
        <v>147</v>
      </c>
      <c r="B286" s="8" t="s">
        <v>148</v>
      </c>
      <c r="C286" s="9" t="s">
        <v>55</v>
      </c>
    </row>
    <row r="287" spans="1:3" ht="75">
      <c r="A287" s="20"/>
      <c r="B287" s="8" t="s">
        <v>149</v>
      </c>
      <c r="C287" s="9" t="s">
        <v>55</v>
      </c>
    </row>
    <row r="288" spans="1:3" ht="75">
      <c r="A288" s="20"/>
      <c r="B288" s="8" t="s">
        <v>150</v>
      </c>
      <c r="C288" s="9" t="s">
        <v>55</v>
      </c>
    </row>
    <row r="289" spans="1:3" ht="75">
      <c r="A289" s="20"/>
      <c r="B289" s="8" t="s">
        <v>151</v>
      </c>
      <c r="C289" s="9" t="s">
        <v>55</v>
      </c>
    </row>
    <row r="290" spans="1:3" ht="75">
      <c r="A290" s="20"/>
      <c r="B290" s="8" t="s">
        <v>152</v>
      </c>
      <c r="C290" s="9" t="s">
        <v>55</v>
      </c>
    </row>
    <row r="291" spans="1:3" ht="75">
      <c r="A291" s="20"/>
      <c r="B291" s="8" t="s">
        <v>153</v>
      </c>
      <c r="C291" s="9" t="s">
        <v>55</v>
      </c>
    </row>
    <row r="292" spans="1:3" ht="75">
      <c r="A292" s="20"/>
      <c r="B292" s="8" t="s">
        <v>154</v>
      </c>
      <c r="C292" s="9" t="s">
        <v>55</v>
      </c>
    </row>
    <row r="293" spans="1:3" ht="45">
      <c r="A293" s="20"/>
      <c r="B293" s="8" t="s">
        <v>155</v>
      </c>
      <c r="C293" s="9" t="s">
        <v>55</v>
      </c>
    </row>
    <row r="294" spans="1:3" ht="45">
      <c r="A294" s="20"/>
      <c r="B294" s="8" t="s">
        <v>156</v>
      </c>
      <c r="C294" s="9" t="s">
        <v>55</v>
      </c>
    </row>
    <row r="295" spans="1:3" ht="150">
      <c r="A295" s="20"/>
      <c r="B295" s="8" t="s">
        <v>157</v>
      </c>
      <c r="C295" s="9" t="s">
        <v>158</v>
      </c>
    </row>
    <row r="296" spans="1:3" ht="90">
      <c r="A296" s="20"/>
      <c r="B296" s="8" t="s">
        <v>159</v>
      </c>
      <c r="C296" s="9" t="s">
        <v>158</v>
      </c>
    </row>
    <row r="297" spans="1:3" ht="105">
      <c r="A297" s="20"/>
      <c r="B297" s="8" t="s">
        <v>160</v>
      </c>
      <c r="C297" s="9" t="s">
        <v>26</v>
      </c>
    </row>
    <row r="298" spans="1:3" ht="105">
      <c r="A298" s="20"/>
      <c r="B298" s="8" t="s">
        <v>161</v>
      </c>
      <c r="C298" s="9" t="s">
        <v>26</v>
      </c>
    </row>
    <row r="299" spans="1:3" ht="75">
      <c r="A299" s="20"/>
      <c r="B299" s="8" t="s">
        <v>162</v>
      </c>
      <c r="C299" s="9" t="s">
        <v>26</v>
      </c>
    </row>
    <row r="300" spans="1:3" ht="60">
      <c r="A300" s="20"/>
      <c r="B300" s="8" t="s">
        <v>163</v>
      </c>
      <c r="C300" s="9" t="s">
        <v>26</v>
      </c>
    </row>
    <row r="301" spans="1:3" ht="60">
      <c r="A301" s="20"/>
      <c r="B301" s="8" t="s">
        <v>164</v>
      </c>
      <c r="C301" s="9" t="s">
        <v>26</v>
      </c>
    </row>
    <row r="302" spans="1:3" ht="60">
      <c r="A302" s="20"/>
      <c r="B302" s="8" t="s">
        <v>165</v>
      </c>
      <c r="C302" s="9" t="s">
        <v>26</v>
      </c>
    </row>
    <row r="303" spans="1:3">
      <c r="A303" s="7" t="s">
        <v>252</v>
      </c>
      <c r="B303" s="11"/>
      <c r="C303" s="9"/>
    </row>
    <row r="304" spans="1:3">
      <c r="A304" s="7" t="s">
        <v>253</v>
      </c>
      <c r="B304" s="11"/>
      <c r="C304" s="9"/>
    </row>
    <row r="305" spans="1:3">
      <c r="A305" s="46" t="s">
        <v>254</v>
      </c>
      <c r="B305" s="47"/>
      <c r="C305" s="48"/>
    </row>
    <row r="306" spans="1:3">
      <c r="A306" s="7" t="s">
        <v>255</v>
      </c>
      <c r="B306" s="11"/>
      <c r="C306" s="9"/>
    </row>
    <row r="307" spans="1:3">
      <c r="A307" s="7" t="s">
        <v>256</v>
      </c>
      <c r="B307" s="11"/>
      <c r="C307" s="9"/>
    </row>
    <row r="308" spans="1:3">
      <c r="A308" s="7" t="s">
        <v>257</v>
      </c>
      <c r="B308" s="11"/>
      <c r="C308" s="9"/>
    </row>
    <row r="309" spans="1:3">
      <c r="A309" s="7" t="s">
        <v>258</v>
      </c>
      <c r="B309" s="11"/>
      <c r="C309" s="9"/>
    </row>
    <row r="310" spans="1:3">
      <c r="A310" s="7" t="s">
        <v>259</v>
      </c>
      <c r="B310" s="11"/>
      <c r="C310" s="9"/>
    </row>
    <row r="311" spans="1:3">
      <c r="A311" s="7" t="s">
        <v>260</v>
      </c>
      <c r="B311" s="11"/>
      <c r="C311" s="9"/>
    </row>
    <row r="312" spans="1:3">
      <c r="A312" s="7" t="s">
        <v>261</v>
      </c>
      <c r="B312" s="11"/>
      <c r="C312" s="9"/>
    </row>
    <row r="313" spans="1:3">
      <c r="A313" s="7" t="s">
        <v>262</v>
      </c>
      <c r="B313" s="11"/>
      <c r="C313" s="9"/>
    </row>
    <row r="314" spans="1:3">
      <c r="A314" s="7" t="s">
        <v>263</v>
      </c>
      <c r="B314" s="11"/>
      <c r="C314" s="9"/>
    </row>
    <row r="315" spans="1:3">
      <c r="A315" s="7" t="s">
        <v>264</v>
      </c>
      <c r="B315" s="11"/>
      <c r="C315" s="9"/>
    </row>
    <row r="316" spans="1:3">
      <c r="A316" s="7" t="s">
        <v>265</v>
      </c>
      <c r="B316" s="11"/>
      <c r="C316" s="9"/>
    </row>
    <row r="317" spans="1:3">
      <c r="A317" s="7" t="s">
        <v>266</v>
      </c>
      <c r="B317" s="11"/>
      <c r="C317" s="9"/>
    </row>
    <row r="318" spans="1:3">
      <c r="A318" s="7" t="s">
        <v>267</v>
      </c>
      <c r="B318" s="11"/>
      <c r="C318" s="9"/>
    </row>
    <row r="319" spans="1:3">
      <c r="A319" s="7" t="s">
        <v>268</v>
      </c>
      <c r="B319" s="11"/>
      <c r="C319" s="9"/>
    </row>
    <row r="320" spans="1:3">
      <c r="A320" s="20" t="s">
        <v>87</v>
      </c>
      <c r="B320" s="11"/>
      <c r="C320" s="9"/>
    </row>
    <row r="321" spans="1:3">
      <c r="A321" s="7" t="s">
        <v>269</v>
      </c>
      <c r="B321" s="11"/>
      <c r="C321" s="9"/>
    </row>
    <row r="322" spans="1:3">
      <c r="A322" s="46" t="s">
        <v>270</v>
      </c>
      <c r="B322" s="47"/>
      <c r="C322" s="48"/>
    </row>
    <row r="323" spans="1:3">
      <c r="A323" s="7" t="s">
        <v>271</v>
      </c>
      <c r="B323" s="11"/>
      <c r="C323" s="9"/>
    </row>
    <row r="324" spans="1:3">
      <c r="A324" s="7" t="s">
        <v>272</v>
      </c>
      <c r="B324" s="11"/>
      <c r="C324" s="9"/>
    </row>
    <row r="325" spans="1:3" ht="45">
      <c r="A325" s="7" t="s">
        <v>273</v>
      </c>
      <c r="B325" s="8" t="s">
        <v>274</v>
      </c>
      <c r="C325" s="9" t="s">
        <v>57</v>
      </c>
    </row>
    <row r="326" spans="1:3" ht="45">
      <c r="A326" s="7"/>
      <c r="B326" s="8" t="s">
        <v>177</v>
      </c>
      <c r="C326" s="9" t="s">
        <v>57</v>
      </c>
    </row>
    <row r="327" spans="1:3" ht="45">
      <c r="A327" s="7"/>
      <c r="B327" s="8" t="s">
        <v>180</v>
      </c>
      <c r="C327" s="9" t="s">
        <v>57</v>
      </c>
    </row>
    <row r="328" spans="1:3">
      <c r="A328" s="7" t="s">
        <v>275</v>
      </c>
      <c r="B328" s="11"/>
      <c r="C328" s="9"/>
    </row>
    <row r="329" spans="1:3" ht="60">
      <c r="A329" s="7" t="s">
        <v>276</v>
      </c>
      <c r="B329" s="17" t="s">
        <v>277</v>
      </c>
      <c r="C329" s="9" t="s">
        <v>26</v>
      </c>
    </row>
    <row r="330" spans="1:3" ht="105">
      <c r="A330" s="7"/>
      <c r="B330" s="17" t="s">
        <v>278</v>
      </c>
      <c r="C330" s="9" t="s">
        <v>26</v>
      </c>
    </row>
    <row r="331" spans="1:3" ht="60">
      <c r="A331" s="7"/>
      <c r="B331" s="17" t="s">
        <v>279</v>
      </c>
      <c r="C331" s="9" t="s">
        <v>26</v>
      </c>
    </row>
    <row r="332" spans="1:3" ht="75">
      <c r="A332" s="7"/>
      <c r="B332" s="17" t="s">
        <v>280</v>
      </c>
      <c r="C332" s="9" t="s">
        <v>26</v>
      </c>
    </row>
    <row r="333" spans="1:3" ht="60">
      <c r="A333" s="7"/>
      <c r="B333" s="17" t="s">
        <v>281</v>
      </c>
      <c r="C333" s="9" t="s">
        <v>26</v>
      </c>
    </row>
    <row r="334" spans="1:3" ht="75">
      <c r="A334" s="7"/>
      <c r="B334" s="17" t="s">
        <v>282</v>
      </c>
      <c r="C334" s="9" t="s">
        <v>26</v>
      </c>
    </row>
    <row r="335" spans="1:3" ht="75">
      <c r="A335" s="7" t="s">
        <v>283</v>
      </c>
      <c r="B335" s="8" t="s">
        <v>193</v>
      </c>
      <c r="C335" s="9" t="s">
        <v>194</v>
      </c>
    </row>
    <row r="336" spans="1:3">
      <c r="A336" s="7" t="s">
        <v>284</v>
      </c>
      <c r="B336" s="11"/>
      <c r="C336" s="9"/>
    </row>
    <row r="337" spans="1:3">
      <c r="A337" s="13" t="s">
        <v>285</v>
      </c>
      <c r="B337" s="23"/>
      <c r="C337" s="15"/>
    </row>
    <row r="338" spans="1:3">
      <c r="A338" s="7" t="s">
        <v>286</v>
      </c>
      <c r="B338" s="24"/>
      <c r="C338" s="9"/>
    </row>
    <row r="339" spans="1:3">
      <c r="A339" s="46" t="s">
        <v>287</v>
      </c>
      <c r="B339" s="47"/>
      <c r="C339" s="48"/>
    </row>
    <row r="340" spans="1:3">
      <c r="A340" s="7" t="s">
        <v>288</v>
      </c>
      <c r="B340" s="11"/>
      <c r="C340" s="9"/>
    </row>
    <row r="341" spans="1:3">
      <c r="A341" s="7" t="s">
        <v>289</v>
      </c>
      <c r="B341" s="11"/>
      <c r="C341" s="9"/>
    </row>
    <row r="342" spans="1:3">
      <c r="A342" s="7" t="s">
        <v>290</v>
      </c>
      <c r="B342" s="11"/>
      <c r="C342" s="9"/>
    </row>
    <row r="343" spans="1:3" ht="75">
      <c r="A343" s="7" t="s">
        <v>291</v>
      </c>
      <c r="B343" s="8" t="s">
        <v>106</v>
      </c>
      <c r="C343" s="9" t="s">
        <v>31</v>
      </c>
    </row>
    <row r="344" spans="1:3" ht="60">
      <c r="A344" s="7"/>
      <c r="B344" s="8" t="s">
        <v>292</v>
      </c>
      <c r="C344" s="9" t="s">
        <v>57</v>
      </c>
    </row>
    <row r="345" spans="1:3" ht="45">
      <c r="A345" s="7"/>
      <c r="B345" s="8" t="s">
        <v>293</v>
      </c>
      <c r="C345" s="9" t="s">
        <v>57</v>
      </c>
    </row>
    <row r="346" spans="1:3">
      <c r="A346" s="7" t="s">
        <v>294</v>
      </c>
      <c r="B346" s="11"/>
      <c r="C346" s="9"/>
    </row>
    <row r="347" spans="1:3" ht="45">
      <c r="A347" s="7" t="s">
        <v>295</v>
      </c>
      <c r="B347" s="8" t="s">
        <v>296</v>
      </c>
      <c r="C347" s="9" t="s">
        <v>103</v>
      </c>
    </row>
    <row r="348" spans="1:3" ht="75">
      <c r="A348" s="7" t="s">
        <v>297</v>
      </c>
      <c r="B348" s="8" t="s">
        <v>298</v>
      </c>
      <c r="C348" s="9" t="s">
        <v>55</v>
      </c>
    </row>
    <row r="349" spans="1:3" ht="45">
      <c r="A349" s="7"/>
      <c r="B349" s="8" t="s">
        <v>299</v>
      </c>
      <c r="C349" s="9" t="s">
        <v>55</v>
      </c>
    </row>
    <row r="350" spans="1:3" ht="60">
      <c r="A350" s="7"/>
      <c r="B350" s="8" t="s">
        <v>300</v>
      </c>
      <c r="C350" s="9" t="s">
        <v>57</v>
      </c>
    </row>
    <row r="351" spans="1:3">
      <c r="A351" s="7" t="s">
        <v>301</v>
      </c>
      <c r="B351" s="11"/>
      <c r="C351" s="9"/>
    </row>
    <row r="352" spans="1:3">
      <c r="A352" s="7" t="s">
        <v>302</v>
      </c>
      <c r="B352" s="11"/>
      <c r="C352" s="9"/>
    </row>
    <row r="353" spans="1:3" ht="90">
      <c r="A353" s="7" t="s">
        <v>303</v>
      </c>
      <c r="B353" s="8" t="s">
        <v>304</v>
      </c>
      <c r="C353" s="9" t="s">
        <v>55</v>
      </c>
    </row>
    <row r="354" spans="1:3" ht="75">
      <c r="A354" s="7"/>
      <c r="B354" s="8" t="s">
        <v>305</v>
      </c>
      <c r="C354" s="9" t="s">
        <v>57</v>
      </c>
    </row>
    <row r="355" spans="1:3" ht="45">
      <c r="A355" s="7"/>
      <c r="B355" s="8" t="s">
        <v>306</v>
      </c>
      <c r="C355" s="9" t="s">
        <v>26</v>
      </c>
    </row>
    <row r="356" spans="1:3" ht="60">
      <c r="A356" s="7"/>
      <c r="B356" s="17" t="s">
        <v>307</v>
      </c>
      <c r="C356" s="9" t="s">
        <v>26</v>
      </c>
    </row>
    <row r="357" spans="1:3" ht="105">
      <c r="A357" s="7"/>
      <c r="B357" s="17" t="s">
        <v>308</v>
      </c>
      <c r="C357" s="9" t="s">
        <v>26</v>
      </c>
    </row>
    <row r="358" spans="1:3" ht="60">
      <c r="A358" s="7"/>
      <c r="B358" s="17" t="s">
        <v>309</v>
      </c>
      <c r="C358" s="9" t="s">
        <v>26</v>
      </c>
    </row>
    <row r="359" spans="1:3" ht="75">
      <c r="A359" s="7"/>
      <c r="B359" s="17" t="s">
        <v>310</v>
      </c>
      <c r="C359" s="9" t="s">
        <v>26</v>
      </c>
    </row>
    <row r="360" spans="1:3" ht="60">
      <c r="A360" s="7"/>
      <c r="B360" s="17" t="s">
        <v>311</v>
      </c>
      <c r="C360" s="9" t="s">
        <v>26</v>
      </c>
    </row>
    <row r="361" spans="1:3" ht="75">
      <c r="A361" s="7"/>
      <c r="B361" s="17" t="s">
        <v>312</v>
      </c>
      <c r="C361" s="9" t="s">
        <v>26</v>
      </c>
    </row>
    <row r="362" spans="1:3">
      <c r="A362" s="7" t="s">
        <v>313</v>
      </c>
      <c r="B362" s="11"/>
      <c r="C362" s="9"/>
    </row>
    <row r="363" spans="1:3">
      <c r="A363" s="7" t="s">
        <v>314</v>
      </c>
      <c r="B363" s="11"/>
      <c r="C363" s="9"/>
    </row>
    <row r="364" spans="1:3">
      <c r="A364" s="7" t="s">
        <v>315</v>
      </c>
      <c r="B364" s="11"/>
      <c r="C364" s="9"/>
    </row>
    <row r="365" spans="1:3" ht="14.25" customHeight="1">
      <c r="A365" s="46" t="s">
        <v>316</v>
      </c>
      <c r="B365" s="47"/>
      <c r="C365" s="48"/>
    </row>
    <row r="366" spans="1:3" ht="60">
      <c r="A366" s="7"/>
      <c r="B366" s="17" t="s">
        <v>317</v>
      </c>
      <c r="C366" s="9" t="s">
        <v>26</v>
      </c>
    </row>
    <row r="367" spans="1:3" ht="105">
      <c r="A367" s="7"/>
      <c r="B367" s="17" t="s">
        <v>318</v>
      </c>
      <c r="C367" s="9" t="s">
        <v>26</v>
      </c>
    </row>
    <row r="368" spans="1:3" ht="60">
      <c r="A368" s="7"/>
      <c r="B368" s="17" t="s">
        <v>319</v>
      </c>
      <c r="C368" s="9" t="s">
        <v>26</v>
      </c>
    </row>
    <row r="369" spans="1:3" ht="75">
      <c r="A369" s="7"/>
      <c r="B369" s="17" t="s">
        <v>320</v>
      </c>
      <c r="C369" s="9" t="s">
        <v>26</v>
      </c>
    </row>
    <row r="370" spans="1:3" ht="60">
      <c r="A370" s="7"/>
      <c r="B370" s="17" t="s">
        <v>321</v>
      </c>
      <c r="C370" s="9" t="s">
        <v>26</v>
      </c>
    </row>
    <row r="371" spans="1:3" ht="75">
      <c r="A371" s="7"/>
      <c r="B371" s="17" t="s">
        <v>322</v>
      </c>
      <c r="C371" s="9" t="s">
        <v>26</v>
      </c>
    </row>
    <row r="372" spans="1:3" ht="14.25" customHeight="1">
      <c r="A372" s="46" t="s">
        <v>323</v>
      </c>
      <c r="B372" s="47"/>
      <c r="C372" s="48"/>
    </row>
    <row r="373" spans="1:3" ht="90">
      <c r="A373" s="7"/>
      <c r="B373" s="25" t="s">
        <v>324</v>
      </c>
      <c r="C373" s="26" t="s">
        <v>325</v>
      </c>
    </row>
    <row r="374" spans="1:3" ht="105">
      <c r="A374" s="7"/>
      <c r="B374" s="25" t="s">
        <v>326</v>
      </c>
      <c r="C374" s="26" t="s">
        <v>325</v>
      </c>
    </row>
    <row r="375" spans="1:3" ht="105">
      <c r="A375" s="7"/>
      <c r="B375" s="25" t="s">
        <v>327</v>
      </c>
      <c r="C375" s="26" t="s">
        <v>325</v>
      </c>
    </row>
    <row r="376" spans="1:3" ht="135">
      <c r="A376" s="7"/>
      <c r="B376" s="25" t="s">
        <v>328</v>
      </c>
      <c r="C376" s="26" t="s">
        <v>325</v>
      </c>
    </row>
    <row r="377" spans="1:3" ht="150">
      <c r="A377" s="7"/>
      <c r="B377" s="25" t="s">
        <v>329</v>
      </c>
      <c r="C377" s="26" t="s">
        <v>325</v>
      </c>
    </row>
    <row r="378" spans="1:3" ht="165">
      <c r="A378" s="7"/>
      <c r="B378" s="25" t="s">
        <v>330</v>
      </c>
      <c r="C378" s="26" t="s">
        <v>325</v>
      </c>
    </row>
    <row r="379" spans="1:3" ht="210">
      <c r="A379" s="7"/>
      <c r="B379" s="25" t="s">
        <v>331</v>
      </c>
      <c r="C379" s="26" t="s">
        <v>325</v>
      </c>
    </row>
    <row r="380" spans="1:3" ht="165">
      <c r="A380" s="7"/>
      <c r="B380" s="25" t="s">
        <v>332</v>
      </c>
      <c r="C380" s="26" t="s">
        <v>325</v>
      </c>
    </row>
    <row r="381" spans="1:3" ht="210">
      <c r="A381" s="7"/>
      <c r="B381" s="25" t="s">
        <v>333</v>
      </c>
      <c r="C381" s="26" t="s">
        <v>325</v>
      </c>
    </row>
    <row r="382" spans="1:3" ht="165">
      <c r="A382" s="7"/>
      <c r="B382" s="25" t="s">
        <v>334</v>
      </c>
      <c r="C382" s="26" t="s">
        <v>325</v>
      </c>
    </row>
    <row r="383" spans="1:3" ht="210">
      <c r="A383" s="7"/>
      <c r="B383" s="25" t="s">
        <v>335</v>
      </c>
      <c r="C383" s="26" t="s">
        <v>325</v>
      </c>
    </row>
    <row r="384" spans="1:3" ht="165">
      <c r="A384" s="7"/>
      <c r="B384" s="25" t="s">
        <v>334</v>
      </c>
      <c r="C384" s="26" t="s">
        <v>325</v>
      </c>
    </row>
    <row r="385" spans="1:3" ht="210">
      <c r="A385" s="7"/>
      <c r="B385" s="25" t="s">
        <v>335</v>
      </c>
      <c r="C385" s="26" t="s">
        <v>325</v>
      </c>
    </row>
    <row r="386" spans="1:3" ht="165">
      <c r="A386" s="7"/>
      <c r="B386" s="25" t="s">
        <v>336</v>
      </c>
      <c r="C386" s="26" t="s">
        <v>325</v>
      </c>
    </row>
    <row r="387" spans="1:3" ht="255">
      <c r="A387" s="7"/>
      <c r="B387" s="25" t="s">
        <v>337</v>
      </c>
      <c r="C387" s="26" t="s">
        <v>325</v>
      </c>
    </row>
    <row r="388" spans="1:3" ht="135">
      <c r="A388" s="7"/>
      <c r="B388" s="25" t="s">
        <v>338</v>
      </c>
      <c r="C388" s="26" t="s">
        <v>325</v>
      </c>
    </row>
    <row r="389" spans="1:3" ht="165">
      <c r="A389" s="7"/>
      <c r="B389" s="25" t="s">
        <v>339</v>
      </c>
      <c r="C389" s="26" t="s">
        <v>325</v>
      </c>
    </row>
    <row r="390" spans="1:3" ht="135">
      <c r="A390" s="7"/>
      <c r="B390" s="25" t="s">
        <v>340</v>
      </c>
      <c r="C390" s="26" t="s">
        <v>325</v>
      </c>
    </row>
    <row r="391" spans="1:3" ht="225">
      <c r="A391" s="7"/>
      <c r="B391" s="25" t="s">
        <v>341</v>
      </c>
      <c r="C391" s="26" t="s">
        <v>325</v>
      </c>
    </row>
    <row r="392" spans="1:3" ht="225">
      <c r="A392" s="7"/>
      <c r="B392" s="25" t="s">
        <v>341</v>
      </c>
      <c r="C392" s="26" t="s">
        <v>325</v>
      </c>
    </row>
    <row r="393" spans="1:3" ht="180">
      <c r="A393" s="7"/>
      <c r="B393" s="25" t="s">
        <v>342</v>
      </c>
      <c r="C393" s="26" t="s">
        <v>325</v>
      </c>
    </row>
    <row r="394" spans="1:3" ht="105">
      <c r="A394" s="7"/>
      <c r="B394" s="25" t="s">
        <v>343</v>
      </c>
      <c r="C394" s="26" t="s">
        <v>325</v>
      </c>
    </row>
    <row r="395" spans="1:3" ht="135">
      <c r="A395" s="7"/>
      <c r="B395" s="25" t="s">
        <v>344</v>
      </c>
      <c r="C395" s="26" t="s">
        <v>325</v>
      </c>
    </row>
    <row r="396" spans="1:3" ht="90">
      <c r="A396" s="7"/>
      <c r="B396" s="25" t="s">
        <v>345</v>
      </c>
      <c r="C396" s="26" t="s">
        <v>325</v>
      </c>
    </row>
    <row r="397" spans="1:3" ht="135">
      <c r="A397" s="7"/>
      <c r="B397" s="25" t="s">
        <v>346</v>
      </c>
      <c r="C397" s="26" t="s">
        <v>325</v>
      </c>
    </row>
    <row r="398" spans="1:3" ht="150">
      <c r="A398" s="7"/>
      <c r="B398" s="25" t="s">
        <v>347</v>
      </c>
      <c r="C398" s="26" t="s">
        <v>325</v>
      </c>
    </row>
    <row r="399" spans="1:3" ht="165">
      <c r="A399" s="7"/>
      <c r="B399" s="25" t="s">
        <v>348</v>
      </c>
      <c r="C399" s="26" t="s">
        <v>325</v>
      </c>
    </row>
    <row r="400" spans="1:3" ht="90">
      <c r="A400" s="7"/>
      <c r="B400" s="25" t="s">
        <v>349</v>
      </c>
      <c r="C400" s="26" t="s">
        <v>325</v>
      </c>
    </row>
    <row r="401" spans="1:3" ht="120">
      <c r="A401" s="7"/>
      <c r="B401" s="25" t="s">
        <v>350</v>
      </c>
      <c r="C401" s="26" t="s">
        <v>325</v>
      </c>
    </row>
    <row r="402" spans="1:3" ht="135">
      <c r="A402" s="7"/>
      <c r="B402" s="25" t="s">
        <v>351</v>
      </c>
      <c r="C402" s="26" t="s">
        <v>325</v>
      </c>
    </row>
    <row r="403" spans="1:3" ht="75">
      <c r="A403" s="7"/>
      <c r="B403" s="25" t="s">
        <v>352</v>
      </c>
      <c r="C403" s="26" t="s">
        <v>325</v>
      </c>
    </row>
    <row r="404" spans="1:3" ht="75">
      <c r="A404" s="7"/>
      <c r="B404" s="25" t="s">
        <v>353</v>
      </c>
      <c r="C404" s="26" t="s">
        <v>325</v>
      </c>
    </row>
    <row r="405" spans="1:3" ht="75">
      <c r="A405" s="7"/>
      <c r="B405" s="25" t="s">
        <v>354</v>
      </c>
      <c r="C405" s="26" t="s">
        <v>325</v>
      </c>
    </row>
    <row r="406" spans="1:3" ht="75">
      <c r="A406" s="7"/>
      <c r="B406" s="25" t="s">
        <v>355</v>
      </c>
      <c r="C406" s="26" t="s">
        <v>325</v>
      </c>
    </row>
    <row r="407" spans="1:3" ht="75">
      <c r="A407" s="7"/>
      <c r="B407" s="25" t="s">
        <v>356</v>
      </c>
      <c r="C407" s="26" t="s">
        <v>325</v>
      </c>
    </row>
    <row r="408" spans="1:3" ht="75">
      <c r="A408" s="7"/>
      <c r="B408" s="25" t="s">
        <v>357</v>
      </c>
      <c r="C408" s="26" t="s">
        <v>325</v>
      </c>
    </row>
    <row r="409" spans="1:3" ht="75">
      <c r="A409" s="7"/>
      <c r="B409" s="25" t="s">
        <v>358</v>
      </c>
      <c r="C409" s="26" t="s">
        <v>325</v>
      </c>
    </row>
    <row r="410" spans="1:3" ht="75">
      <c r="A410" s="7"/>
      <c r="B410" s="25" t="s">
        <v>359</v>
      </c>
      <c r="C410" s="26" t="s">
        <v>325</v>
      </c>
    </row>
    <row r="411" spans="1:3" ht="105">
      <c r="A411" s="7"/>
      <c r="B411" s="25" t="s">
        <v>360</v>
      </c>
      <c r="C411" s="26" t="s">
        <v>325</v>
      </c>
    </row>
    <row r="412" spans="1:3" ht="30">
      <c r="A412" s="7"/>
      <c r="B412" s="25" t="s">
        <v>361</v>
      </c>
      <c r="C412" s="26" t="s">
        <v>325</v>
      </c>
    </row>
    <row r="413" spans="1:3" ht="30">
      <c r="A413" s="7"/>
      <c r="B413" s="25" t="s">
        <v>362</v>
      </c>
      <c r="C413" s="26" t="s">
        <v>325</v>
      </c>
    </row>
    <row r="414" spans="1:3" ht="120">
      <c r="A414" s="7"/>
      <c r="B414" s="25" t="s">
        <v>363</v>
      </c>
      <c r="C414" s="26" t="s">
        <v>325</v>
      </c>
    </row>
    <row r="415" spans="1:3" ht="75">
      <c r="A415" s="7"/>
      <c r="B415" s="25" t="s">
        <v>364</v>
      </c>
      <c r="C415" s="26" t="s">
        <v>325</v>
      </c>
    </row>
    <row r="416" spans="1:3" ht="75">
      <c r="A416" s="7"/>
      <c r="B416" s="25" t="s">
        <v>365</v>
      </c>
      <c r="C416" s="26" t="s">
        <v>325</v>
      </c>
    </row>
    <row r="417" spans="1:3" ht="75">
      <c r="A417" s="7"/>
      <c r="B417" s="25" t="s">
        <v>366</v>
      </c>
      <c r="C417" s="26" t="s">
        <v>325</v>
      </c>
    </row>
    <row r="418" spans="1:3" ht="75">
      <c r="A418" s="7"/>
      <c r="B418" s="25" t="s">
        <v>367</v>
      </c>
      <c r="C418" s="26" t="s">
        <v>325</v>
      </c>
    </row>
    <row r="419" spans="1:3" ht="75">
      <c r="A419" s="7"/>
      <c r="B419" s="25" t="s">
        <v>368</v>
      </c>
      <c r="C419" s="26" t="s">
        <v>325</v>
      </c>
    </row>
    <row r="420" spans="1:3" ht="75">
      <c r="A420" s="7"/>
      <c r="B420" s="25" t="s">
        <v>369</v>
      </c>
      <c r="C420" s="26" t="s">
        <v>325</v>
      </c>
    </row>
    <row r="421" spans="1:3" ht="75">
      <c r="A421" s="7"/>
      <c r="B421" s="25" t="s">
        <v>370</v>
      </c>
      <c r="C421" s="26" t="s">
        <v>325</v>
      </c>
    </row>
    <row r="422" spans="1:3" ht="45">
      <c r="A422" s="7"/>
      <c r="B422" s="25" t="s">
        <v>371</v>
      </c>
      <c r="C422" s="26" t="s">
        <v>325</v>
      </c>
    </row>
    <row r="423" spans="1:3" ht="135">
      <c r="A423" s="7"/>
      <c r="B423" s="25" t="s">
        <v>372</v>
      </c>
      <c r="C423" s="26" t="s">
        <v>325</v>
      </c>
    </row>
    <row r="424" spans="1:3" ht="45">
      <c r="A424" s="7"/>
      <c r="B424" s="25" t="s">
        <v>373</v>
      </c>
      <c r="C424" s="26" t="s">
        <v>325</v>
      </c>
    </row>
    <row r="425" spans="1:3" ht="75">
      <c r="A425" s="7"/>
      <c r="B425" s="25" t="s">
        <v>374</v>
      </c>
      <c r="C425" s="26" t="s">
        <v>325</v>
      </c>
    </row>
    <row r="426" spans="1:3" ht="75">
      <c r="A426" s="7"/>
      <c r="B426" s="27" t="s">
        <v>375</v>
      </c>
      <c r="C426" s="26" t="s">
        <v>325</v>
      </c>
    </row>
    <row r="427" spans="1:3" ht="14.25" customHeight="1"/>
    <row r="428" spans="1:3" ht="14.25" customHeight="1"/>
    <row r="429" spans="1:3" ht="14.25" customHeight="1"/>
    <row r="430" spans="1:3" ht="14.25" customHeight="1"/>
    <row r="431" spans="1:3" ht="14.25" customHeight="1"/>
    <row r="432" spans="1:3"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row r="903" ht="14.25"/>
    <row r="904" ht="14.25"/>
    <row r="905" ht="14.25"/>
    <row r="906" ht="14.25"/>
    <row r="907" ht="14.25"/>
    <row r="908" ht="14.25"/>
    <row r="909" ht="14.25"/>
    <row r="910" ht="14.25"/>
    <row r="911" ht="14.25"/>
    <row r="912" ht="14.25"/>
    <row r="913" ht="14.25"/>
    <row r="914" ht="14.25"/>
    <row r="915" ht="14.25"/>
    <row r="916" ht="14.25"/>
    <row r="917" ht="14.25"/>
    <row r="918" ht="14.25"/>
    <row r="919" ht="14.25"/>
    <row r="920" ht="14.25"/>
    <row r="921" ht="14.25"/>
    <row r="922" ht="14.25"/>
    <row r="923" ht="14.25"/>
    <row r="924" ht="14.25"/>
    <row r="925" ht="14.25"/>
    <row r="926" ht="14.25"/>
    <row r="927" ht="14.25"/>
    <row r="928" ht="14.25"/>
    <row r="929" ht="14.25"/>
    <row r="930" ht="14.25"/>
    <row r="931" ht="14.25"/>
    <row r="932" ht="14.25"/>
    <row r="933" ht="14.25"/>
    <row r="934" ht="14.25"/>
    <row r="935" ht="14.25"/>
    <row r="936" ht="14.25"/>
    <row r="937" ht="14.25"/>
    <row r="938" ht="14.25"/>
    <row r="939" ht="14.25"/>
    <row r="940" ht="14.25"/>
    <row r="941" ht="14.25"/>
    <row r="942" ht="14.25"/>
    <row r="943" ht="14.25"/>
    <row r="944" ht="14.25"/>
    <row r="945" ht="14.25"/>
    <row r="946" ht="14.25"/>
    <row r="947" ht="14.25"/>
    <row r="948" ht="14.25"/>
    <row r="949" ht="14.25"/>
    <row r="950" ht="14.25"/>
    <row r="951" ht="14.25"/>
    <row r="952" ht="14.25"/>
    <row r="953" ht="14.25"/>
    <row r="954" ht="14.25"/>
    <row r="955" ht="14.25"/>
    <row r="956" ht="14.25"/>
    <row r="957" ht="14.25"/>
    <row r="958" ht="14.25"/>
    <row r="959" ht="14.25"/>
    <row r="960" ht="14.25"/>
    <row r="961" ht="14.25"/>
    <row r="962" ht="14.25"/>
    <row r="963" ht="14.25"/>
    <row r="964" ht="14.25"/>
    <row r="965" ht="14.25"/>
    <row r="966" ht="14.25"/>
    <row r="967" ht="14.25"/>
    <row r="968" ht="14.25"/>
    <row r="969" ht="14.25"/>
    <row r="970" ht="14.25"/>
    <row r="971" ht="14.25"/>
    <row r="972" ht="14.25"/>
    <row r="973" ht="14.25"/>
    <row r="974" ht="14.25"/>
    <row r="975" ht="14.25"/>
    <row r="976" ht="14.25"/>
    <row r="977" ht="14.25"/>
    <row r="978" ht="14.25"/>
    <row r="979" ht="14.25"/>
    <row r="980" ht="14.25"/>
    <row r="981" ht="14.25"/>
    <row r="982" ht="14.25"/>
    <row r="983" ht="14.25"/>
    <row r="984" ht="14.25"/>
    <row r="985" ht="14.25"/>
    <row r="986" ht="14.25"/>
    <row r="987" ht="14.25"/>
    <row r="988" ht="14.25"/>
    <row r="989" ht="14.25"/>
    <row r="990" ht="14.25"/>
    <row r="991" ht="14.25"/>
    <row r="992" ht="14.25"/>
    <row r="993" ht="14.25"/>
    <row r="994" ht="14.25"/>
    <row r="995" ht="14.25"/>
    <row r="996" ht="14.25"/>
    <row r="997" ht="14.25"/>
    <row r="998" ht="14.25"/>
    <row r="999" ht="14.25"/>
    <row r="1000" ht="14.25"/>
    <row r="1001" ht="14.25"/>
    <row r="1002" ht="14.25"/>
    <row r="1003" ht="14.25"/>
    <row r="1004" ht="14.25"/>
    <row r="1005" ht="14.25"/>
    <row r="1006" ht="14.25"/>
    <row r="1007" ht="14.25"/>
    <row r="1008" ht="14.25"/>
    <row r="1009" ht="14.25"/>
    <row r="1010" ht="14.25"/>
    <row r="1011" ht="14.25"/>
    <row r="1012" ht="14.25"/>
    <row r="1013" ht="14.25"/>
    <row r="1014" ht="14.25"/>
    <row r="1015" ht="14.25"/>
    <row r="1016" ht="14.25"/>
    <row r="1017" ht="14.25"/>
    <row r="1018" ht="14.25"/>
    <row r="1019" ht="14.25"/>
    <row r="1020" ht="14.25"/>
    <row r="1021" ht="14.25"/>
    <row r="1022" ht="14.25"/>
    <row r="1023" ht="14.25"/>
    <row r="1024" ht="14.25"/>
    <row r="1025" ht="14.25"/>
    <row r="1026" ht="14.25"/>
    <row r="1027" ht="14.25"/>
    <row r="1028" ht="14.25"/>
    <row r="1029" ht="14.25"/>
    <row r="1030" ht="14.25"/>
    <row r="1031" ht="14.25"/>
    <row r="1032" ht="14.25"/>
    <row r="1033" ht="14.25"/>
    <row r="1034" ht="14.25"/>
    <row r="1035" ht="14.25"/>
    <row r="1036" ht="14.25"/>
    <row r="1037" ht="14.25"/>
    <row r="1038" ht="14.25"/>
    <row r="1039" ht="14.25"/>
    <row r="1040" ht="14.25"/>
    <row r="1041" ht="14.25"/>
    <row r="1042" ht="14.25"/>
    <row r="1043" ht="14.25"/>
    <row r="1044" ht="14.25"/>
    <row r="1045" ht="14.25"/>
    <row r="1046" ht="14.25"/>
    <row r="1047" ht="14.25"/>
    <row r="1048" ht="14.25"/>
    <row r="1049" ht="14.25"/>
    <row r="1050" ht="14.25"/>
    <row r="1051" ht="14.25"/>
    <row r="1052" ht="14.25"/>
    <row r="1053" ht="14.25"/>
    <row r="1054" ht="14.25"/>
    <row r="1055" ht="14.25"/>
    <row r="1056" ht="14.25"/>
    <row r="1057" ht="14.25"/>
    <row r="1058" ht="14.25"/>
    <row r="1059" ht="14.25"/>
    <row r="1060" ht="14.25"/>
    <row r="1061" ht="14.25"/>
    <row r="1062" ht="14.25"/>
    <row r="1063" ht="14.25"/>
    <row r="1064" ht="14.25"/>
    <row r="1065" ht="14.25"/>
    <row r="1066" ht="14.25"/>
    <row r="1067" ht="14.25"/>
    <row r="1068" ht="14.25"/>
    <row r="1069" ht="14.25"/>
    <row r="1070" ht="14.25"/>
    <row r="1071" ht="14.25"/>
    <row r="1072" ht="14.25"/>
    <row r="1073" ht="14.25"/>
    <row r="1074" ht="14.25"/>
    <row r="1075" ht="14.25"/>
    <row r="1076" ht="14.25"/>
    <row r="1077" ht="14.25"/>
    <row r="1078" ht="14.25"/>
    <row r="1079" ht="14.25"/>
    <row r="1080" ht="14.25"/>
    <row r="1081" ht="14.25"/>
    <row r="1082" ht="14.25"/>
    <row r="1083" ht="14.25"/>
    <row r="1084" ht="14.25"/>
    <row r="1085" ht="14.25"/>
    <row r="1086" ht="14.25"/>
    <row r="1087" ht="14.25"/>
    <row r="1088" ht="14.25"/>
    <row r="1089" ht="14.25"/>
    <row r="1090" ht="14.25"/>
    <row r="1091" ht="14.25"/>
    <row r="1092" ht="14.25"/>
    <row r="1093" ht="14.25"/>
  </sheetData>
  <mergeCells count="16">
    <mergeCell ref="A80:C80"/>
    <mergeCell ref="A108:C108"/>
    <mergeCell ref="A365:C365"/>
    <mergeCell ref="A372:C372"/>
    <mergeCell ref="A152:C152"/>
    <mergeCell ref="A205:C205"/>
    <mergeCell ref="A245:C245"/>
    <mergeCell ref="A257:C257"/>
    <mergeCell ref="A305:C305"/>
    <mergeCell ref="A322:C322"/>
    <mergeCell ref="A339:C339"/>
    <mergeCell ref="A2:C2"/>
    <mergeCell ref="A13:C13"/>
    <mergeCell ref="A20:C20"/>
    <mergeCell ref="A35:C35"/>
    <mergeCell ref="A59:C5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dimension ref="A1:I1002"/>
  <sheetViews>
    <sheetView workbookViewId="0"/>
  </sheetViews>
  <sheetFormatPr defaultColWidth="12.625" defaultRowHeight="15" customHeight="1"/>
  <cols>
    <col min="1" max="1" width="19.625" customWidth="1"/>
    <col min="2" max="2" width="12.875" customWidth="1"/>
    <col min="3" max="5" width="15" customWidth="1"/>
    <col min="6" max="6" width="19" customWidth="1"/>
    <col min="7" max="7" width="11.875" customWidth="1"/>
    <col min="8" max="8" width="15.5" customWidth="1"/>
    <col min="9" max="9" width="21" customWidth="1"/>
    <col min="10" max="28" width="8.625" customWidth="1"/>
  </cols>
  <sheetData>
    <row r="1" spans="1:9" ht="14.25" customHeight="1">
      <c r="A1" s="28" t="s">
        <v>376</v>
      </c>
    </row>
    <row r="2" spans="1:9" ht="14.25" customHeight="1"/>
    <row r="3" spans="1:9" ht="14.25" customHeight="1">
      <c r="A3" s="2" t="s">
        <v>377</v>
      </c>
      <c r="B3" s="29" t="s">
        <v>378</v>
      </c>
      <c r="C3" s="29" t="s">
        <v>379</v>
      </c>
      <c r="D3" s="30" t="s">
        <v>380</v>
      </c>
      <c r="E3" s="30" t="s">
        <v>381</v>
      </c>
      <c r="F3" s="30" t="s">
        <v>382</v>
      </c>
      <c r="G3" s="29" t="s">
        <v>379</v>
      </c>
      <c r="H3" s="29" t="s">
        <v>383</v>
      </c>
      <c r="I3" s="30" t="s">
        <v>384</v>
      </c>
    </row>
    <row r="4" spans="1:9" ht="14.25" customHeight="1">
      <c r="A4" s="24" t="s">
        <v>3</v>
      </c>
      <c r="B4" s="31">
        <v>10</v>
      </c>
      <c r="C4" s="32">
        <v>0</v>
      </c>
      <c r="D4" s="33">
        <f t="shared" ref="D4:D18" si="0">C4/B4</f>
        <v>0</v>
      </c>
      <c r="E4" s="31">
        <v>0</v>
      </c>
      <c r="F4" s="31">
        <f t="shared" ref="F4:F17" si="1">B4-E4</f>
        <v>10</v>
      </c>
      <c r="G4" s="31">
        <v>0</v>
      </c>
      <c r="H4" s="31">
        <v>31</v>
      </c>
      <c r="I4" s="31">
        <v>31</v>
      </c>
    </row>
    <row r="5" spans="1:9" ht="14.25" customHeight="1">
      <c r="A5" s="24" t="s">
        <v>14</v>
      </c>
      <c r="B5" s="31">
        <v>6</v>
      </c>
      <c r="C5" s="32">
        <v>0</v>
      </c>
      <c r="D5" s="33">
        <f t="shared" si="0"/>
        <v>0</v>
      </c>
      <c r="E5" s="31">
        <v>0</v>
      </c>
      <c r="F5" s="31">
        <f t="shared" si="1"/>
        <v>6</v>
      </c>
      <c r="G5" s="31">
        <v>0</v>
      </c>
      <c r="H5" s="31">
        <v>26</v>
      </c>
      <c r="I5" s="31">
        <v>26</v>
      </c>
    </row>
    <row r="6" spans="1:9" ht="14.25" customHeight="1">
      <c r="A6" s="24" t="s">
        <v>21</v>
      </c>
      <c r="B6" s="31">
        <v>9</v>
      </c>
      <c r="C6" s="32">
        <v>5</v>
      </c>
      <c r="D6" s="33">
        <f t="shared" si="0"/>
        <v>0.55555555555555558</v>
      </c>
      <c r="E6" s="31">
        <v>0</v>
      </c>
      <c r="F6" s="31">
        <f t="shared" si="1"/>
        <v>9</v>
      </c>
      <c r="G6" s="31">
        <v>5</v>
      </c>
      <c r="H6" s="31">
        <v>9</v>
      </c>
      <c r="I6" s="31">
        <v>9</v>
      </c>
    </row>
    <row r="7" spans="1:9" ht="14.25" customHeight="1">
      <c r="A7" s="34" t="s">
        <v>45</v>
      </c>
      <c r="B7" s="31">
        <v>10</v>
      </c>
      <c r="C7" s="32">
        <v>5</v>
      </c>
      <c r="D7" s="33">
        <f t="shared" si="0"/>
        <v>0.5</v>
      </c>
      <c r="E7" s="31">
        <v>0</v>
      </c>
      <c r="F7" s="31">
        <f t="shared" si="1"/>
        <v>10</v>
      </c>
      <c r="G7" s="31">
        <v>5</v>
      </c>
      <c r="H7" s="31">
        <v>18</v>
      </c>
      <c r="I7" s="31">
        <v>18</v>
      </c>
    </row>
    <row r="8" spans="1:9" ht="14.25" customHeight="1">
      <c r="A8" s="34" t="s">
        <v>72</v>
      </c>
      <c r="B8" s="31">
        <v>18</v>
      </c>
      <c r="C8" s="32">
        <v>2</v>
      </c>
      <c r="D8" s="33">
        <f t="shared" si="0"/>
        <v>0.1111111111111111</v>
      </c>
      <c r="E8" s="31">
        <v>3</v>
      </c>
      <c r="F8" s="31">
        <f t="shared" si="1"/>
        <v>15</v>
      </c>
      <c r="G8" s="31">
        <v>0</v>
      </c>
      <c r="H8" s="31">
        <v>71</v>
      </c>
      <c r="I8" s="31">
        <v>63</v>
      </c>
    </row>
    <row r="9" spans="1:9" ht="14.25" customHeight="1">
      <c r="A9" s="34" t="s">
        <v>88</v>
      </c>
      <c r="B9" s="31">
        <v>12</v>
      </c>
      <c r="C9" s="32">
        <v>4</v>
      </c>
      <c r="D9" s="33">
        <f t="shared" si="0"/>
        <v>0.33333333333333331</v>
      </c>
      <c r="E9" s="31">
        <v>7</v>
      </c>
      <c r="F9" s="31">
        <f t="shared" si="1"/>
        <v>5</v>
      </c>
      <c r="G9" s="31">
        <v>3</v>
      </c>
      <c r="H9" s="31">
        <v>74</v>
      </c>
      <c r="I9" s="31">
        <v>20</v>
      </c>
    </row>
    <row r="10" spans="1:9" ht="14.25" customHeight="1">
      <c r="A10" s="34" t="s">
        <v>108</v>
      </c>
      <c r="B10" s="31">
        <v>37</v>
      </c>
      <c r="C10" s="32">
        <v>3</v>
      </c>
      <c r="D10" s="33">
        <f t="shared" si="0"/>
        <v>8.1081081081081086E-2</v>
      </c>
      <c r="E10" s="31">
        <v>9</v>
      </c>
      <c r="F10" s="31">
        <f t="shared" si="1"/>
        <v>28</v>
      </c>
      <c r="G10" s="31">
        <v>0</v>
      </c>
      <c r="H10" s="31">
        <v>102</v>
      </c>
      <c r="I10" s="31">
        <v>63</v>
      </c>
    </row>
    <row r="11" spans="1:9" ht="14.25" customHeight="1">
      <c r="A11" s="34" t="s">
        <v>137</v>
      </c>
      <c r="B11" s="31">
        <v>14</v>
      </c>
      <c r="C11" s="32">
        <v>7</v>
      </c>
      <c r="D11" s="33">
        <f t="shared" si="0"/>
        <v>0.5</v>
      </c>
      <c r="E11" s="31">
        <v>1</v>
      </c>
      <c r="F11" s="31">
        <f t="shared" si="1"/>
        <v>13</v>
      </c>
      <c r="G11" s="31">
        <v>7</v>
      </c>
      <c r="H11" s="31">
        <v>31</v>
      </c>
      <c r="I11" s="31">
        <v>28</v>
      </c>
    </row>
    <row r="12" spans="1:9" ht="14.25" customHeight="1">
      <c r="A12" s="34" t="s">
        <v>184</v>
      </c>
      <c r="B12" s="31">
        <v>25</v>
      </c>
      <c r="C12" s="32">
        <v>3</v>
      </c>
      <c r="D12" s="33">
        <f t="shared" si="0"/>
        <v>0.12</v>
      </c>
      <c r="E12" s="31">
        <v>2</v>
      </c>
      <c r="F12" s="31">
        <f t="shared" si="1"/>
        <v>23</v>
      </c>
      <c r="G12" s="31">
        <v>2</v>
      </c>
      <c r="H12" s="31">
        <v>9</v>
      </c>
      <c r="I12" s="31">
        <v>6</v>
      </c>
    </row>
    <row r="13" spans="1:9" ht="14.25" customHeight="1">
      <c r="A13" s="34" t="s">
        <v>213</v>
      </c>
      <c r="B13" s="31">
        <v>9</v>
      </c>
      <c r="C13" s="32">
        <v>3</v>
      </c>
      <c r="D13" s="33">
        <f t="shared" si="0"/>
        <v>0.33333333333333331</v>
      </c>
      <c r="E13" s="31">
        <v>3</v>
      </c>
      <c r="F13" s="31">
        <f t="shared" si="1"/>
        <v>6</v>
      </c>
      <c r="G13" s="31">
        <v>3</v>
      </c>
      <c r="H13" s="31">
        <v>10</v>
      </c>
      <c r="I13" s="31">
        <v>8</v>
      </c>
    </row>
    <row r="14" spans="1:9" ht="14.25" customHeight="1">
      <c r="A14" s="34" t="s">
        <v>222</v>
      </c>
      <c r="B14" s="31">
        <v>17</v>
      </c>
      <c r="C14" s="32">
        <v>3</v>
      </c>
      <c r="D14" s="33">
        <f t="shared" si="0"/>
        <v>0.17647058823529413</v>
      </c>
      <c r="E14" s="31">
        <v>2</v>
      </c>
      <c r="F14" s="31">
        <f t="shared" si="1"/>
        <v>15</v>
      </c>
      <c r="G14" s="31">
        <v>2</v>
      </c>
      <c r="H14" s="31">
        <v>13</v>
      </c>
      <c r="I14" s="31">
        <v>9</v>
      </c>
    </row>
    <row r="15" spans="1:9" ht="14.25" customHeight="1">
      <c r="A15" s="34" t="s">
        <v>254</v>
      </c>
      <c r="B15" s="31">
        <v>16</v>
      </c>
      <c r="C15" s="32">
        <v>0</v>
      </c>
      <c r="D15" s="33">
        <f t="shared" si="0"/>
        <v>0</v>
      </c>
      <c r="E15" s="31">
        <v>1</v>
      </c>
      <c r="F15" s="31">
        <f t="shared" si="1"/>
        <v>15</v>
      </c>
      <c r="G15" s="31">
        <v>0</v>
      </c>
      <c r="H15" s="31">
        <v>22</v>
      </c>
      <c r="I15" s="31">
        <v>21</v>
      </c>
    </row>
    <row r="16" spans="1:9" ht="14.25" customHeight="1">
      <c r="A16" s="34" t="s">
        <v>270</v>
      </c>
      <c r="B16" s="31">
        <v>9</v>
      </c>
      <c r="C16" s="32">
        <v>3</v>
      </c>
      <c r="D16" s="33">
        <f t="shared" si="0"/>
        <v>0.33333333333333331</v>
      </c>
      <c r="E16" s="31">
        <v>0</v>
      </c>
      <c r="F16" s="31">
        <f t="shared" si="1"/>
        <v>9</v>
      </c>
      <c r="G16" s="31">
        <v>3</v>
      </c>
      <c r="H16" s="31">
        <v>7</v>
      </c>
      <c r="I16" s="31">
        <v>7</v>
      </c>
    </row>
    <row r="17" spans="1:9" ht="14.25" customHeight="1">
      <c r="A17" s="34" t="s">
        <v>287</v>
      </c>
      <c r="B17" s="31">
        <v>13</v>
      </c>
      <c r="C17" s="32">
        <v>4</v>
      </c>
      <c r="D17" s="33">
        <f t="shared" si="0"/>
        <v>0.30769230769230771</v>
      </c>
      <c r="E17" s="31">
        <v>0</v>
      </c>
      <c r="F17" s="31">
        <f t="shared" si="1"/>
        <v>13</v>
      </c>
      <c r="G17" s="31">
        <v>4</v>
      </c>
      <c r="H17" s="31">
        <v>13</v>
      </c>
      <c r="I17" s="31">
        <v>13</v>
      </c>
    </row>
    <row r="18" spans="1:9" ht="14.25" customHeight="1">
      <c r="A18" s="35" t="s">
        <v>385</v>
      </c>
      <c r="B18" s="29">
        <f t="shared" ref="B18:C18" si="2">SUM(B4:B17)</f>
        <v>205</v>
      </c>
      <c r="C18" s="29">
        <f t="shared" si="2"/>
        <v>42</v>
      </c>
      <c r="D18" s="33">
        <f t="shared" si="0"/>
        <v>0.20487804878048779</v>
      </c>
      <c r="E18" s="29">
        <f t="shared" ref="E18:I18" si="3">SUM(E4:E17)</f>
        <v>28</v>
      </c>
      <c r="F18" s="29">
        <f t="shared" si="3"/>
        <v>177</v>
      </c>
      <c r="G18" s="29">
        <f t="shared" si="3"/>
        <v>34</v>
      </c>
      <c r="H18" s="29">
        <f t="shared" si="3"/>
        <v>436</v>
      </c>
      <c r="I18" s="29">
        <f t="shared" si="3"/>
        <v>322</v>
      </c>
    </row>
    <row r="19" spans="1:9" ht="14.25" customHeight="1">
      <c r="C19" s="36">
        <f>C18/B18</f>
        <v>0.20487804878048779</v>
      </c>
      <c r="D19" s="31"/>
      <c r="G19" s="36">
        <f>G18/F18</f>
        <v>0.19209039548022599</v>
      </c>
    </row>
    <row r="20" spans="1:9" ht="14.25" customHeight="1"/>
    <row r="21" spans="1:9" ht="14.25" customHeight="1"/>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dimension ref="A1:Z972"/>
  <sheetViews>
    <sheetView workbookViewId="0">
      <pane ySplit="1" topLeftCell="A2" activePane="bottomLeft" state="frozen"/>
      <selection pane="bottomLeft" activeCell="A2" sqref="A2"/>
    </sheetView>
  </sheetViews>
  <sheetFormatPr defaultColWidth="12.625" defaultRowHeight="15" customHeight="1"/>
  <cols>
    <col min="1" max="1" width="36.75" customWidth="1"/>
    <col min="2" max="2" width="21.375" customWidth="1"/>
    <col min="3" max="3" width="18.75" customWidth="1"/>
    <col min="4" max="4" width="19.5" customWidth="1"/>
    <col min="5" max="5" width="16.75" customWidth="1"/>
    <col min="6" max="6" width="13.625" customWidth="1"/>
    <col min="7" max="7" width="50" customWidth="1"/>
    <col min="8" max="26" width="8.625" customWidth="1"/>
  </cols>
  <sheetData>
    <row r="1" spans="1:26" ht="14.25" customHeight="1">
      <c r="A1" s="37" t="s">
        <v>386</v>
      </c>
      <c r="B1" s="37" t="s">
        <v>387</v>
      </c>
      <c r="C1" s="37" t="s">
        <v>388</v>
      </c>
      <c r="D1" s="37" t="s">
        <v>389</v>
      </c>
      <c r="E1" s="37" t="s">
        <v>390</v>
      </c>
      <c r="F1" s="37" t="s">
        <v>391</v>
      </c>
      <c r="G1" s="37" t="s">
        <v>392</v>
      </c>
    </row>
    <row r="2" spans="1:26" ht="14.25" customHeight="1">
      <c r="A2" s="9" t="s">
        <v>89</v>
      </c>
      <c r="B2" s="38" t="s">
        <v>88</v>
      </c>
      <c r="C2" s="9" t="s">
        <v>108</v>
      </c>
      <c r="D2" s="12"/>
      <c r="E2" s="12"/>
      <c r="F2" s="10" t="s">
        <v>393</v>
      </c>
      <c r="G2" s="39"/>
      <c r="H2" s="6"/>
      <c r="I2" s="6"/>
      <c r="J2" s="6"/>
      <c r="K2" s="6"/>
      <c r="L2" s="6"/>
      <c r="M2" s="6"/>
      <c r="N2" s="6"/>
      <c r="O2" s="6"/>
      <c r="P2" s="6"/>
      <c r="Q2" s="6"/>
      <c r="R2" s="6"/>
      <c r="S2" s="6"/>
      <c r="T2" s="6"/>
      <c r="U2" s="6"/>
      <c r="V2" s="6"/>
      <c r="W2" s="6"/>
      <c r="X2" s="6"/>
      <c r="Y2" s="6"/>
      <c r="Z2" s="6"/>
    </row>
    <row r="3" spans="1:26" ht="14.25" customHeight="1">
      <c r="A3" s="40" t="s">
        <v>91</v>
      </c>
      <c r="B3" s="41" t="s">
        <v>88</v>
      </c>
      <c r="C3" s="40" t="s">
        <v>108</v>
      </c>
      <c r="D3" s="40"/>
      <c r="E3" s="40"/>
      <c r="F3" s="42" t="s">
        <v>393</v>
      </c>
      <c r="G3" s="27"/>
    </row>
    <row r="4" spans="1:26" ht="14.25" customHeight="1">
      <c r="A4" s="38" t="s">
        <v>74</v>
      </c>
      <c r="B4" s="9" t="s">
        <v>72</v>
      </c>
      <c r="C4" s="9" t="s">
        <v>108</v>
      </c>
      <c r="D4" s="43"/>
      <c r="E4" s="43"/>
      <c r="F4" s="44" t="s">
        <v>393</v>
      </c>
      <c r="G4" s="27"/>
    </row>
    <row r="5" spans="1:26" ht="45">
      <c r="A5" s="40" t="s">
        <v>75</v>
      </c>
      <c r="B5" s="40" t="s">
        <v>72</v>
      </c>
      <c r="C5" s="40" t="s">
        <v>88</v>
      </c>
      <c r="D5" s="40"/>
      <c r="E5" s="40"/>
      <c r="F5" s="42" t="s">
        <v>394</v>
      </c>
      <c r="G5" s="45" t="s">
        <v>395</v>
      </c>
    </row>
    <row r="6" spans="1:26" ht="45">
      <c r="A6" s="9" t="s">
        <v>76</v>
      </c>
      <c r="B6" s="9" t="s">
        <v>72</v>
      </c>
      <c r="C6" s="9" t="s">
        <v>88</v>
      </c>
      <c r="D6" s="43"/>
      <c r="E6" s="43"/>
      <c r="F6" s="44" t="s">
        <v>394</v>
      </c>
      <c r="G6" s="45" t="s">
        <v>396</v>
      </c>
    </row>
    <row r="7" spans="1:26" ht="75">
      <c r="A7" s="40" t="s">
        <v>80</v>
      </c>
      <c r="B7" s="40" t="s">
        <v>72</v>
      </c>
      <c r="C7" s="40" t="s">
        <v>88</v>
      </c>
      <c r="D7" s="40"/>
      <c r="E7" s="40"/>
      <c r="F7" s="42" t="s">
        <v>394</v>
      </c>
      <c r="G7" s="45" t="s">
        <v>397</v>
      </c>
    </row>
    <row r="8" spans="1:26" ht="60">
      <c r="A8" s="9" t="s">
        <v>81</v>
      </c>
      <c r="B8" s="9" t="s">
        <v>72</v>
      </c>
      <c r="C8" s="9" t="s">
        <v>88</v>
      </c>
      <c r="D8" s="43"/>
      <c r="E8" s="43"/>
      <c r="F8" s="44" t="s">
        <v>394</v>
      </c>
      <c r="G8" s="45" t="s">
        <v>398</v>
      </c>
    </row>
    <row r="9" spans="1:26" ht="14.25" customHeight="1">
      <c r="A9" s="41" t="s">
        <v>33</v>
      </c>
      <c r="B9" s="40" t="s">
        <v>21</v>
      </c>
      <c r="C9" s="40" t="s">
        <v>72</v>
      </c>
      <c r="D9" s="40"/>
      <c r="E9" s="40"/>
      <c r="F9" s="42" t="s">
        <v>393</v>
      </c>
      <c r="G9" s="27"/>
    </row>
    <row r="10" spans="1:26" ht="14.25" customHeight="1">
      <c r="A10" s="38" t="s">
        <v>104</v>
      </c>
      <c r="B10" s="9" t="s">
        <v>88</v>
      </c>
      <c r="C10" s="9" t="s">
        <v>108</v>
      </c>
      <c r="D10" s="43"/>
      <c r="E10" s="43"/>
      <c r="F10" s="44" t="s">
        <v>393</v>
      </c>
      <c r="G10" s="27"/>
    </row>
    <row r="11" spans="1:26" ht="14.25" customHeight="1">
      <c r="A11" s="40" t="s">
        <v>82</v>
      </c>
      <c r="B11" s="40" t="s">
        <v>72</v>
      </c>
      <c r="C11" s="40" t="s">
        <v>88</v>
      </c>
      <c r="D11" s="40" t="s">
        <v>108</v>
      </c>
      <c r="E11" s="40"/>
      <c r="F11" s="42" t="s">
        <v>393</v>
      </c>
      <c r="G11" s="27"/>
    </row>
    <row r="12" spans="1:26" ht="14.25" customHeight="1">
      <c r="A12" s="9" t="s">
        <v>146</v>
      </c>
      <c r="B12" s="9" t="s">
        <v>137</v>
      </c>
      <c r="C12" s="9" t="s">
        <v>222</v>
      </c>
      <c r="D12" s="43"/>
      <c r="E12" s="43"/>
      <c r="F12" s="44" t="s">
        <v>393</v>
      </c>
      <c r="G12" s="27"/>
    </row>
    <row r="13" spans="1:26" ht="14.25" customHeight="1">
      <c r="A13" s="41" t="s">
        <v>147</v>
      </c>
      <c r="B13" s="40" t="s">
        <v>137</v>
      </c>
      <c r="C13" s="40" t="s">
        <v>222</v>
      </c>
      <c r="D13" s="40"/>
      <c r="E13" s="40"/>
      <c r="F13" s="42" t="s">
        <v>393</v>
      </c>
      <c r="G13" s="27"/>
    </row>
    <row r="14" spans="1:26" ht="14.25" customHeight="1">
      <c r="A14" s="9" t="s">
        <v>119</v>
      </c>
      <c r="B14" s="9" t="s">
        <v>108</v>
      </c>
      <c r="C14" s="9" t="s">
        <v>137</v>
      </c>
      <c r="D14" s="43"/>
      <c r="E14" s="43"/>
      <c r="F14" s="44" t="s">
        <v>393</v>
      </c>
      <c r="G14" s="27"/>
    </row>
    <row r="15" spans="1:26" ht="45">
      <c r="A15" s="41" t="s">
        <v>166</v>
      </c>
      <c r="B15" s="40" t="s">
        <v>137</v>
      </c>
      <c r="C15" s="40" t="s">
        <v>184</v>
      </c>
      <c r="D15" s="40"/>
      <c r="E15" s="40"/>
      <c r="F15" s="42" t="s">
        <v>394</v>
      </c>
      <c r="G15" s="45" t="s">
        <v>399</v>
      </c>
    </row>
    <row r="16" spans="1:26" ht="14.25" customHeight="1">
      <c r="A16" s="9" t="s">
        <v>85</v>
      </c>
      <c r="B16" s="9" t="s">
        <v>72</v>
      </c>
      <c r="C16" s="9" t="s">
        <v>108</v>
      </c>
      <c r="D16" s="43"/>
      <c r="E16" s="43"/>
      <c r="F16" s="44" t="s">
        <v>393</v>
      </c>
      <c r="G16" s="27"/>
    </row>
    <row r="17" spans="1:7" ht="14.25" customHeight="1">
      <c r="A17" s="40" t="s">
        <v>105</v>
      </c>
      <c r="B17" s="40" t="s">
        <v>88</v>
      </c>
      <c r="C17" s="40" t="s">
        <v>108</v>
      </c>
      <c r="D17" s="40"/>
      <c r="E17" s="40"/>
      <c r="F17" s="42" t="s">
        <v>393</v>
      </c>
      <c r="G17" s="27"/>
    </row>
    <row r="18" spans="1:7" ht="135">
      <c r="A18" s="38" t="s">
        <v>38</v>
      </c>
      <c r="B18" s="9" t="s">
        <v>21</v>
      </c>
      <c r="C18" s="9" t="s">
        <v>213</v>
      </c>
      <c r="D18" s="43"/>
      <c r="E18" s="43"/>
      <c r="F18" s="44" t="s">
        <v>394</v>
      </c>
      <c r="G18" s="45" t="s">
        <v>400</v>
      </c>
    </row>
    <row r="19" spans="1:7" ht="45">
      <c r="A19" s="40" t="s">
        <v>64</v>
      </c>
      <c r="B19" s="40" t="s">
        <v>45</v>
      </c>
      <c r="C19" s="40" t="s">
        <v>72</v>
      </c>
      <c r="D19" s="40" t="s">
        <v>88</v>
      </c>
      <c r="E19" s="40"/>
      <c r="F19" s="42" t="s">
        <v>394</v>
      </c>
      <c r="G19" s="45" t="s">
        <v>401</v>
      </c>
    </row>
    <row r="20" spans="1:7" ht="14.25" customHeight="1">
      <c r="A20" s="38" t="s">
        <v>67</v>
      </c>
      <c r="B20" s="9" t="s">
        <v>45</v>
      </c>
      <c r="C20" s="9" t="s">
        <v>213</v>
      </c>
      <c r="D20" s="43"/>
      <c r="E20" s="43"/>
      <c r="F20" s="44" t="s">
        <v>393</v>
      </c>
      <c r="G20" s="27"/>
    </row>
    <row r="21" spans="1:7" ht="14.25" customHeight="1">
      <c r="A21" s="41" t="s">
        <v>87</v>
      </c>
      <c r="B21" s="40" t="s">
        <v>72</v>
      </c>
      <c r="C21" s="40" t="s">
        <v>108</v>
      </c>
      <c r="D21" s="40" t="s">
        <v>254</v>
      </c>
      <c r="E21" s="40"/>
      <c r="F21" s="42" t="s">
        <v>393</v>
      </c>
      <c r="G21" s="27"/>
    </row>
    <row r="22" spans="1:7" ht="14.25" customHeight="1">
      <c r="A22" s="9" t="s">
        <v>133</v>
      </c>
      <c r="B22" s="9" t="s">
        <v>108</v>
      </c>
      <c r="C22" s="9" t="s">
        <v>213</v>
      </c>
      <c r="D22" s="43"/>
      <c r="E22" s="43"/>
      <c r="F22" s="44" t="s">
        <v>393</v>
      </c>
      <c r="G22" s="27"/>
    </row>
    <row r="23" spans="1:7" ht="90">
      <c r="A23" s="40" t="s">
        <v>41</v>
      </c>
      <c r="B23" s="40" t="s">
        <v>21</v>
      </c>
      <c r="C23" s="40" t="s">
        <v>72</v>
      </c>
      <c r="D23" s="40" t="s">
        <v>88</v>
      </c>
      <c r="E23" s="40" t="s">
        <v>108</v>
      </c>
      <c r="F23" s="42" t="s">
        <v>394</v>
      </c>
      <c r="G23" s="45" t="s">
        <v>402</v>
      </c>
    </row>
    <row r="24" spans="1:7" ht="14.25" customHeight="1">
      <c r="A24" s="9" t="s">
        <v>134</v>
      </c>
      <c r="B24" s="9" t="s">
        <v>108</v>
      </c>
      <c r="C24" s="9" t="s">
        <v>184</v>
      </c>
      <c r="D24" s="43"/>
      <c r="E24" s="43"/>
      <c r="F24" s="44" t="s">
        <v>393</v>
      </c>
      <c r="G24" s="27"/>
    </row>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Enterprise ATT&amp;CK</vt:lpstr>
      <vt:lpstr>Expressed Tactics</vt:lpstr>
      <vt:lpstr>Techniques in Multi-Tactics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Tayouri</cp:lastModifiedBy>
  <dcterms:created xsi:type="dcterms:W3CDTF">2020-09-25T10:53:52Z</dcterms:created>
  <dcterms:modified xsi:type="dcterms:W3CDTF">2022-02-23T21:09:46Z</dcterms:modified>
</cp:coreProperties>
</file>